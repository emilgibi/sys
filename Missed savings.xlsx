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I\BD\Lupin\Lupin CT\"/>
    </mc:Choice>
  </mc:AlternateContent>
  <xr:revisionPtr revIDLastSave="0" documentId="13_ncr:1_{3B7A165E-1576-4DC4-88A8-1372BE2EF06D}" xr6:coauthVersionLast="47" xr6:coauthVersionMax="47" xr10:uidLastSave="{00000000-0000-0000-0000-000000000000}"/>
  <bookViews>
    <workbookView xWindow="-110" yWindow="-110" windowWidth="19420" windowHeight="10300" xr2:uid="{6637B335-6EB1-4AE2-8E08-DB305C44A306}"/>
  </bookViews>
  <sheets>
    <sheet name="Sheet1" sheetId="1" r:id="rId1"/>
  </sheets>
  <definedNames>
    <definedName name="_xlnm._FilterDatabase" localSheetId="0" hidden="1">Sheet1!$B$2:$Q$168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8" i="1" l="1"/>
  <c r="Q168" i="1" s="1"/>
  <c r="H168" i="1"/>
  <c r="J168" i="1" s="1"/>
  <c r="O167" i="1"/>
  <c r="Q167" i="1" s="1"/>
  <c r="H167" i="1"/>
  <c r="J167" i="1" s="1"/>
  <c r="O166" i="1"/>
  <c r="H166" i="1"/>
  <c r="J166" i="1" s="1"/>
  <c r="O165" i="1"/>
  <c r="P165" i="1" s="1"/>
  <c r="H165" i="1"/>
  <c r="J165" i="1" s="1"/>
  <c r="Q165" i="1" s="1"/>
  <c r="O164" i="1"/>
  <c r="Q164" i="1" s="1"/>
  <c r="J164" i="1"/>
  <c r="H164" i="1"/>
  <c r="O163" i="1"/>
  <c r="P163" i="1" s="1"/>
  <c r="H163" i="1"/>
  <c r="J163" i="1" s="1"/>
  <c r="Q163" i="1" s="1"/>
  <c r="P162" i="1"/>
  <c r="O162" i="1"/>
  <c r="J162" i="1"/>
  <c r="Q162" i="1" s="1"/>
  <c r="H162" i="1"/>
  <c r="O161" i="1"/>
  <c r="H161" i="1"/>
  <c r="J161" i="1" s="1"/>
  <c r="P160" i="1"/>
  <c r="O160" i="1"/>
  <c r="H160" i="1"/>
  <c r="J160" i="1" s="1"/>
  <c r="Q160" i="1" s="1"/>
  <c r="O159" i="1"/>
  <c r="Q159" i="1" s="1"/>
  <c r="H159" i="1"/>
  <c r="J159" i="1" s="1"/>
  <c r="O158" i="1"/>
  <c r="Q158" i="1" s="1"/>
  <c r="H158" i="1"/>
  <c r="J158" i="1" s="1"/>
  <c r="O157" i="1"/>
  <c r="P157" i="1" s="1"/>
  <c r="H157" i="1"/>
  <c r="J157" i="1" s="1"/>
  <c r="Q157" i="1" s="1"/>
  <c r="O156" i="1"/>
  <c r="Q156" i="1" s="1"/>
  <c r="J156" i="1"/>
  <c r="H156" i="1"/>
  <c r="O155" i="1"/>
  <c r="P155" i="1" s="1"/>
  <c r="H155" i="1"/>
  <c r="J155" i="1" s="1"/>
  <c r="Q155" i="1" s="1"/>
  <c r="P154" i="1"/>
  <c r="O154" i="1"/>
  <c r="J154" i="1"/>
  <c r="Q154" i="1" s="1"/>
  <c r="H154" i="1"/>
  <c r="O153" i="1"/>
  <c r="Q153" i="1" s="1"/>
  <c r="H153" i="1"/>
  <c r="J153" i="1" s="1"/>
  <c r="P152" i="1"/>
  <c r="O152" i="1"/>
  <c r="H152" i="1"/>
  <c r="J152" i="1" s="1"/>
  <c r="Q152" i="1" s="1"/>
  <c r="O151" i="1"/>
  <c r="Q151" i="1" s="1"/>
  <c r="H151" i="1"/>
  <c r="J151" i="1" s="1"/>
  <c r="O150" i="1"/>
  <c r="H150" i="1"/>
  <c r="J150" i="1" s="1"/>
  <c r="O149" i="1"/>
  <c r="P149" i="1" s="1"/>
  <c r="H149" i="1"/>
  <c r="J149" i="1" s="1"/>
  <c r="Q149" i="1" s="1"/>
  <c r="O148" i="1"/>
  <c r="Q148" i="1" s="1"/>
  <c r="J148" i="1"/>
  <c r="H148" i="1"/>
  <c r="O147" i="1"/>
  <c r="P147" i="1" s="1"/>
  <c r="H147" i="1"/>
  <c r="J147" i="1" s="1"/>
  <c r="Q147" i="1" s="1"/>
  <c r="P146" i="1"/>
  <c r="O146" i="1"/>
  <c r="Q146" i="1" s="1"/>
  <c r="J146" i="1"/>
  <c r="H146" i="1"/>
  <c r="O145" i="1"/>
  <c r="H145" i="1"/>
  <c r="J145" i="1" s="1"/>
  <c r="P144" i="1"/>
  <c r="O144" i="1"/>
  <c r="H144" i="1"/>
  <c r="J144" i="1" s="1"/>
  <c r="Q144" i="1" s="1"/>
  <c r="O143" i="1"/>
  <c r="Q143" i="1" s="1"/>
  <c r="H143" i="1"/>
  <c r="J143" i="1" s="1"/>
  <c r="O142" i="1"/>
  <c r="Q142" i="1" s="1"/>
  <c r="H142" i="1"/>
  <c r="J142" i="1" s="1"/>
  <c r="O141" i="1"/>
  <c r="P141" i="1" s="1"/>
  <c r="H141" i="1"/>
  <c r="J141" i="1" s="1"/>
  <c r="Q141" i="1" s="1"/>
  <c r="O140" i="1"/>
  <c r="Q140" i="1" s="1"/>
  <c r="J140" i="1"/>
  <c r="H140" i="1"/>
  <c r="O139" i="1"/>
  <c r="P139" i="1" s="1"/>
  <c r="H139" i="1"/>
  <c r="J139" i="1" s="1"/>
  <c r="Q139" i="1" s="1"/>
  <c r="P138" i="1"/>
  <c r="O138" i="1"/>
  <c r="Q138" i="1" s="1"/>
  <c r="J138" i="1"/>
  <c r="H138" i="1"/>
  <c r="O137" i="1"/>
  <c r="Q137" i="1" s="1"/>
  <c r="H137" i="1"/>
  <c r="J137" i="1" s="1"/>
  <c r="P136" i="1"/>
  <c r="O136" i="1"/>
  <c r="H136" i="1"/>
  <c r="J136" i="1" s="1"/>
  <c r="Q136" i="1" s="1"/>
  <c r="O135" i="1"/>
  <c r="Q135" i="1" s="1"/>
  <c r="H135" i="1"/>
  <c r="J135" i="1" s="1"/>
  <c r="O134" i="1"/>
  <c r="H134" i="1"/>
  <c r="J134" i="1" s="1"/>
  <c r="O133" i="1"/>
  <c r="P133" i="1" s="1"/>
  <c r="H133" i="1"/>
  <c r="J133" i="1" s="1"/>
  <c r="Q133" i="1" s="1"/>
  <c r="O132" i="1"/>
  <c r="Q132" i="1" s="1"/>
  <c r="J132" i="1"/>
  <c r="H132" i="1"/>
  <c r="P131" i="1"/>
  <c r="O131" i="1"/>
  <c r="H131" i="1"/>
  <c r="J131" i="1" s="1"/>
  <c r="Q131" i="1" s="1"/>
  <c r="P130" i="1"/>
  <c r="O130" i="1"/>
  <c r="Q130" i="1" s="1"/>
  <c r="J130" i="1"/>
  <c r="H130" i="1"/>
  <c r="P129" i="1"/>
  <c r="O129" i="1"/>
  <c r="H129" i="1"/>
  <c r="J129" i="1" s="1"/>
  <c r="P128" i="1"/>
  <c r="O128" i="1"/>
  <c r="H128" i="1"/>
  <c r="J128" i="1" s="1"/>
  <c r="Q128" i="1" s="1"/>
  <c r="O127" i="1"/>
  <c r="Q127" i="1" s="1"/>
  <c r="H127" i="1"/>
  <c r="J127" i="1" s="1"/>
  <c r="O126" i="1"/>
  <c r="Q126" i="1" s="1"/>
  <c r="H126" i="1"/>
  <c r="J126" i="1" s="1"/>
  <c r="O125" i="1"/>
  <c r="P125" i="1" s="1"/>
  <c r="H125" i="1"/>
  <c r="J125" i="1" s="1"/>
  <c r="Q125" i="1" s="1"/>
  <c r="O124" i="1"/>
  <c r="Q124" i="1" s="1"/>
  <c r="J124" i="1"/>
  <c r="H124" i="1"/>
  <c r="O123" i="1"/>
  <c r="P123" i="1" s="1"/>
  <c r="H123" i="1"/>
  <c r="J123" i="1" s="1"/>
  <c r="Q123" i="1" s="1"/>
  <c r="P122" i="1"/>
  <c r="O122" i="1"/>
  <c r="Q122" i="1" s="1"/>
  <c r="J122" i="1"/>
  <c r="H122" i="1"/>
  <c r="O121" i="1"/>
  <c r="H121" i="1"/>
  <c r="J121" i="1" s="1"/>
  <c r="P120" i="1"/>
  <c r="O120" i="1"/>
  <c r="H120" i="1"/>
  <c r="J120" i="1" s="1"/>
  <c r="Q120" i="1" s="1"/>
  <c r="O119" i="1"/>
  <c r="H119" i="1"/>
  <c r="J119" i="1" s="1"/>
  <c r="O118" i="1"/>
  <c r="Q118" i="1" s="1"/>
  <c r="K118" i="1"/>
  <c r="L118" i="1" s="1"/>
  <c r="J118" i="1"/>
  <c r="Q117" i="1"/>
  <c r="P117" i="1"/>
  <c r="O117" i="1"/>
  <c r="K117" i="1"/>
  <c r="L117" i="1" s="1"/>
  <c r="J117" i="1"/>
  <c r="P116" i="1"/>
  <c r="O116" i="1"/>
  <c r="Q116" i="1" s="1"/>
  <c r="L116" i="1"/>
  <c r="K116" i="1"/>
  <c r="J116" i="1"/>
  <c r="O115" i="1"/>
  <c r="Q115" i="1" s="1"/>
  <c r="L115" i="1"/>
  <c r="K115" i="1"/>
  <c r="J115" i="1"/>
  <c r="O114" i="1"/>
  <c r="Q114" i="1" s="1"/>
  <c r="K114" i="1"/>
  <c r="L114" i="1" s="1"/>
  <c r="J114" i="1"/>
  <c r="Q113" i="1"/>
  <c r="P113" i="1"/>
  <c r="O113" i="1"/>
  <c r="K113" i="1"/>
  <c r="L113" i="1" s="1"/>
  <c r="J113" i="1"/>
  <c r="P112" i="1"/>
  <c r="O112" i="1"/>
  <c r="Q112" i="1" s="1"/>
  <c r="L112" i="1"/>
  <c r="K112" i="1"/>
  <c r="J112" i="1"/>
  <c r="O111" i="1"/>
  <c r="Q111" i="1" s="1"/>
  <c r="L111" i="1"/>
  <c r="K111" i="1"/>
  <c r="J111" i="1"/>
  <c r="O110" i="1"/>
  <c r="Q110" i="1" s="1"/>
  <c r="K110" i="1"/>
  <c r="L110" i="1" s="1"/>
  <c r="J110" i="1"/>
  <c r="Q109" i="1"/>
  <c r="P109" i="1"/>
  <c r="O109" i="1"/>
  <c r="K109" i="1"/>
  <c r="L109" i="1" s="1"/>
  <c r="J109" i="1"/>
  <c r="P108" i="1"/>
  <c r="O108" i="1"/>
  <c r="Q108" i="1" s="1"/>
  <c r="L108" i="1"/>
  <c r="K108" i="1"/>
  <c r="J108" i="1"/>
  <c r="O107" i="1"/>
  <c r="Q107" i="1" s="1"/>
  <c r="L107" i="1"/>
  <c r="K107" i="1"/>
  <c r="J107" i="1"/>
  <c r="P106" i="1"/>
  <c r="O106" i="1"/>
  <c r="K106" i="1"/>
  <c r="L106" i="1" s="1"/>
  <c r="J106" i="1"/>
  <c r="Q106" i="1" s="1"/>
  <c r="O105" i="1"/>
  <c r="Q105" i="1" s="1"/>
  <c r="L105" i="1"/>
  <c r="K105" i="1"/>
  <c r="J105" i="1"/>
  <c r="P104" i="1"/>
  <c r="O104" i="1"/>
  <c r="Q104" i="1" s="1"/>
  <c r="K104" i="1"/>
  <c r="L104" i="1" s="1"/>
  <c r="J104" i="1"/>
  <c r="O103" i="1"/>
  <c r="Q103" i="1" s="1"/>
  <c r="L103" i="1"/>
  <c r="K103" i="1"/>
  <c r="J103" i="1"/>
  <c r="Q102" i="1"/>
  <c r="P102" i="1"/>
  <c r="O102" i="1"/>
  <c r="K102" i="1"/>
  <c r="L102" i="1" s="1"/>
  <c r="J102" i="1"/>
  <c r="O101" i="1"/>
  <c r="Q101" i="1" s="1"/>
  <c r="L101" i="1"/>
  <c r="K101" i="1"/>
  <c r="J101" i="1"/>
  <c r="P100" i="1"/>
  <c r="O100" i="1"/>
  <c r="Q100" i="1" s="1"/>
  <c r="K100" i="1"/>
  <c r="L100" i="1" s="1"/>
  <c r="J100" i="1"/>
  <c r="O99" i="1"/>
  <c r="Q99" i="1" s="1"/>
  <c r="L99" i="1"/>
  <c r="K99" i="1"/>
  <c r="J99" i="1"/>
  <c r="Q98" i="1"/>
  <c r="P98" i="1"/>
  <c r="O98" i="1"/>
  <c r="K98" i="1"/>
  <c r="L98" i="1" s="1"/>
  <c r="J98" i="1"/>
  <c r="O97" i="1"/>
  <c r="Q97" i="1" s="1"/>
  <c r="L97" i="1"/>
  <c r="K97" i="1"/>
  <c r="J97" i="1"/>
  <c r="P96" i="1"/>
  <c r="O96" i="1"/>
  <c r="Q96" i="1" s="1"/>
  <c r="K96" i="1"/>
  <c r="L96" i="1" s="1"/>
  <c r="J96" i="1"/>
  <c r="O95" i="1"/>
  <c r="Q95" i="1" s="1"/>
  <c r="L95" i="1"/>
  <c r="K95" i="1"/>
  <c r="J95" i="1"/>
  <c r="Q94" i="1"/>
  <c r="P94" i="1"/>
  <c r="O94" i="1"/>
  <c r="K94" i="1"/>
  <c r="L94" i="1" s="1"/>
  <c r="J94" i="1"/>
  <c r="O93" i="1"/>
  <c r="Q93" i="1" s="1"/>
  <c r="L93" i="1"/>
  <c r="K93" i="1"/>
  <c r="J93" i="1"/>
  <c r="P92" i="1"/>
  <c r="O92" i="1"/>
  <c r="Q92" i="1" s="1"/>
  <c r="K92" i="1"/>
  <c r="L92" i="1" s="1"/>
  <c r="J92" i="1"/>
  <c r="O91" i="1"/>
  <c r="Q91" i="1" s="1"/>
  <c r="L91" i="1"/>
  <c r="K91" i="1"/>
  <c r="J91" i="1"/>
  <c r="Q90" i="1"/>
  <c r="P90" i="1"/>
  <c r="O90" i="1"/>
  <c r="K90" i="1"/>
  <c r="L90" i="1" s="1"/>
  <c r="J90" i="1"/>
  <c r="O89" i="1"/>
  <c r="Q89" i="1" s="1"/>
  <c r="L89" i="1"/>
  <c r="K89" i="1"/>
  <c r="J89" i="1"/>
  <c r="P88" i="1"/>
  <c r="O88" i="1"/>
  <c r="Q88" i="1" s="1"/>
  <c r="K88" i="1"/>
  <c r="L88" i="1" s="1"/>
  <c r="J88" i="1"/>
  <c r="O87" i="1"/>
  <c r="Q87" i="1" s="1"/>
  <c r="L87" i="1"/>
  <c r="K87" i="1"/>
  <c r="J87" i="1"/>
  <c r="Q86" i="1"/>
  <c r="P86" i="1"/>
  <c r="O86" i="1"/>
  <c r="K86" i="1"/>
  <c r="L86" i="1" s="1"/>
  <c r="J86" i="1"/>
  <c r="O85" i="1"/>
  <c r="Q85" i="1" s="1"/>
  <c r="K85" i="1"/>
  <c r="L85" i="1" s="1"/>
  <c r="J85" i="1"/>
  <c r="P84" i="1"/>
  <c r="O84" i="1"/>
  <c r="Q84" i="1" s="1"/>
  <c r="K84" i="1"/>
  <c r="L84" i="1" s="1"/>
  <c r="H84" i="1"/>
  <c r="O83" i="1"/>
  <c r="Q83" i="1" s="1"/>
  <c r="L83" i="1"/>
  <c r="K83" i="1"/>
  <c r="H83" i="1"/>
  <c r="Q82" i="1"/>
  <c r="P82" i="1"/>
  <c r="O82" i="1"/>
  <c r="K82" i="1"/>
  <c r="L82" i="1" s="1"/>
  <c r="H82" i="1"/>
  <c r="O81" i="1"/>
  <c r="Q81" i="1" s="1"/>
  <c r="K81" i="1"/>
  <c r="L81" i="1" s="1"/>
  <c r="H81" i="1"/>
  <c r="P80" i="1"/>
  <c r="O80" i="1"/>
  <c r="Q80" i="1" s="1"/>
  <c r="K80" i="1"/>
  <c r="L80" i="1" s="1"/>
  <c r="H80" i="1"/>
  <c r="O79" i="1"/>
  <c r="Q79" i="1" s="1"/>
  <c r="L79" i="1"/>
  <c r="K79" i="1"/>
  <c r="H79" i="1"/>
  <c r="Q78" i="1"/>
  <c r="P78" i="1"/>
  <c r="O78" i="1"/>
  <c r="K78" i="1"/>
  <c r="L78" i="1" s="1"/>
  <c r="H78" i="1"/>
  <c r="O77" i="1"/>
  <c r="Q77" i="1" s="1"/>
  <c r="L77" i="1"/>
  <c r="K77" i="1"/>
  <c r="H77" i="1"/>
  <c r="P76" i="1"/>
  <c r="O76" i="1"/>
  <c r="Q76" i="1" s="1"/>
  <c r="K76" i="1"/>
  <c r="L76" i="1" s="1"/>
  <c r="H76" i="1"/>
  <c r="O75" i="1"/>
  <c r="Q75" i="1" s="1"/>
  <c r="L75" i="1"/>
  <c r="K75" i="1"/>
  <c r="H75" i="1"/>
  <c r="Q74" i="1"/>
  <c r="P74" i="1"/>
  <c r="O74" i="1"/>
  <c r="K74" i="1"/>
  <c r="L74" i="1" s="1"/>
  <c r="H74" i="1"/>
  <c r="O73" i="1"/>
  <c r="Q73" i="1" s="1"/>
  <c r="L73" i="1"/>
  <c r="K73" i="1"/>
  <c r="H73" i="1"/>
  <c r="P72" i="1"/>
  <c r="O72" i="1"/>
  <c r="Q72" i="1" s="1"/>
  <c r="K72" i="1"/>
  <c r="L72" i="1" s="1"/>
  <c r="H72" i="1"/>
  <c r="O71" i="1"/>
  <c r="Q71" i="1" s="1"/>
  <c r="L71" i="1"/>
  <c r="K71" i="1"/>
  <c r="H71" i="1"/>
  <c r="Q70" i="1"/>
  <c r="P70" i="1"/>
  <c r="O70" i="1"/>
  <c r="K70" i="1"/>
  <c r="L70" i="1" s="1"/>
  <c r="H70" i="1"/>
  <c r="O69" i="1"/>
  <c r="Q69" i="1" s="1"/>
  <c r="L69" i="1"/>
  <c r="K69" i="1"/>
  <c r="H69" i="1"/>
  <c r="P68" i="1"/>
  <c r="O68" i="1"/>
  <c r="Q68" i="1" s="1"/>
  <c r="K68" i="1"/>
  <c r="L68" i="1" s="1"/>
  <c r="H68" i="1"/>
  <c r="O67" i="1"/>
  <c r="Q67" i="1" s="1"/>
  <c r="L67" i="1"/>
  <c r="K67" i="1"/>
  <c r="H67" i="1"/>
  <c r="Q66" i="1"/>
  <c r="O66" i="1"/>
  <c r="P66" i="1" s="1"/>
  <c r="K66" i="1"/>
  <c r="L66" i="1" s="1"/>
  <c r="H66" i="1"/>
  <c r="O65" i="1"/>
  <c r="Q65" i="1" s="1"/>
  <c r="K65" i="1"/>
  <c r="L65" i="1" s="1"/>
  <c r="H65" i="1"/>
  <c r="P64" i="1"/>
  <c r="O64" i="1"/>
  <c r="Q64" i="1" s="1"/>
  <c r="K64" i="1"/>
  <c r="L64" i="1" s="1"/>
  <c r="H64" i="1"/>
  <c r="O63" i="1"/>
  <c r="Q63" i="1" s="1"/>
  <c r="L63" i="1"/>
  <c r="K63" i="1"/>
  <c r="H63" i="1"/>
  <c r="Q62" i="1"/>
  <c r="O62" i="1"/>
  <c r="P62" i="1" s="1"/>
  <c r="K62" i="1"/>
  <c r="L62" i="1" s="1"/>
  <c r="H62" i="1"/>
  <c r="O61" i="1"/>
  <c r="Q61" i="1" s="1"/>
  <c r="K61" i="1"/>
  <c r="L61" i="1" s="1"/>
  <c r="H61" i="1"/>
  <c r="P60" i="1"/>
  <c r="O60" i="1"/>
  <c r="Q60" i="1" s="1"/>
  <c r="K60" i="1"/>
  <c r="L60" i="1" s="1"/>
  <c r="H60" i="1"/>
  <c r="O59" i="1"/>
  <c r="Q59" i="1" s="1"/>
  <c r="L59" i="1"/>
  <c r="K59" i="1"/>
  <c r="H59" i="1"/>
  <c r="Q58" i="1"/>
  <c r="O58" i="1"/>
  <c r="P58" i="1" s="1"/>
  <c r="K58" i="1"/>
  <c r="L58" i="1" s="1"/>
  <c r="H58" i="1"/>
  <c r="O57" i="1"/>
  <c r="Q57" i="1" s="1"/>
  <c r="K57" i="1"/>
  <c r="L57" i="1" s="1"/>
  <c r="J57" i="1"/>
  <c r="P56" i="1"/>
  <c r="O56" i="1"/>
  <c r="Q56" i="1" s="1"/>
  <c r="K56" i="1"/>
  <c r="L56" i="1" s="1"/>
  <c r="J56" i="1"/>
  <c r="O55" i="1"/>
  <c r="Q55" i="1" s="1"/>
  <c r="L55" i="1"/>
  <c r="K55" i="1"/>
  <c r="J55" i="1"/>
  <c r="Q54" i="1"/>
  <c r="O54" i="1"/>
  <c r="P54" i="1" s="1"/>
  <c r="K54" i="1"/>
  <c r="L54" i="1" s="1"/>
  <c r="J54" i="1"/>
  <c r="O53" i="1"/>
  <c r="Q53" i="1" s="1"/>
  <c r="K53" i="1"/>
  <c r="L53" i="1" s="1"/>
  <c r="J53" i="1"/>
  <c r="P52" i="1"/>
  <c r="O52" i="1"/>
  <c r="Q52" i="1" s="1"/>
  <c r="K52" i="1"/>
  <c r="L52" i="1" s="1"/>
  <c r="J52" i="1"/>
  <c r="O51" i="1"/>
  <c r="Q51" i="1" s="1"/>
  <c r="L51" i="1"/>
  <c r="K51" i="1"/>
  <c r="J51" i="1"/>
  <c r="Q50" i="1"/>
  <c r="O50" i="1"/>
  <c r="P50" i="1" s="1"/>
  <c r="K50" i="1"/>
  <c r="L50" i="1" s="1"/>
  <c r="J50" i="1"/>
  <c r="O49" i="1"/>
  <c r="Q49" i="1" s="1"/>
  <c r="K49" i="1"/>
  <c r="L49" i="1" s="1"/>
  <c r="J49" i="1"/>
  <c r="P48" i="1"/>
  <c r="O48" i="1"/>
  <c r="Q48" i="1" s="1"/>
  <c r="K48" i="1"/>
  <c r="L48" i="1" s="1"/>
  <c r="J48" i="1"/>
  <c r="O47" i="1"/>
  <c r="Q47" i="1" s="1"/>
  <c r="L47" i="1"/>
  <c r="K47" i="1"/>
  <c r="J47" i="1"/>
  <c r="Q46" i="1"/>
  <c r="P46" i="1"/>
  <c r="O46" i="1"/>
  <c r="K46" i="1"/>
  <c r="L46" i="1" s="1"/>
  <c r="J46" i="1"/>
  <c r="O45" i="1"/>
  <c r="Q45" i="1" s="1"/>
  <c r="L45" i="1"/>
  <c r="K45" i="1"/>
  <c r="J45" i="1"/>
  <c r="P44" i="1"/>
  <c r="O44" i="1"/>
  <c r="Q44" i="1" s="1"/>
  <c r="K44" i="1"/>
  <c r="L44" i="1" s="1"/>
  <c r="J44" i="1"/>
  <c r="O43" i="1"/>
  <c r="Q43" i="1" s="1"/>
  <c r="L43" i="1"/>
  <c r="K43" i="1"/>
  <c r="J43" i="1"/>
  <c r="Q42" i="1"/>
  <c r="P42" i="1"/>
  <c r="O42" i="1"/>
  <c r="K42" i="1"/>
  <c r="L42" i="1" s="1"/>
  <c r="J42" i="1"/>
  <c r="O41" i="1"/>
  <c r="Q41" i="1" s="1"/>
  <c r="K41" i="1"/>
  <c r="L41" i="1" s="1"/>
  <c r="J41" i="1"/>
  <c r="P40" i="1"/>
  <c r="O40" i="1"/>
  <c r="Q40" i="1" s="1"/>
  <c r="K40" i="1"/>
  <c r="L40" i="1" s="1"/>
  <c r="J40" i="1"/>
  <c r="O39" i="1"/>
  <c r="Q39" i="1" s="1"/>
  <c r="L39" i="1"/>
  <c r="K39" i="1"/>
  <c r="J39" i="1"/>
  <c r="Q38" i="1"/>
  <c r="P38" i="1"/>
  <c r="O38" i="1"/>
  <c r="K38" i="1"/>
  <c r="L38" i="1" s="1"/>
  <c r="J38" i="1"/>
  <c r="O37" i="1"/>
  <c r="Q37" i="1" s="1"/>
  <c r="L37" i="1"/>
  <c r="K37" i="1"/>
  <c r="J37" i="1"/>
  <c r="P36" i="1"/>
  <c r="O36" i="1"/>
  <c r="Q36" i="1" s="1"/>
  <c r="K36" i="1"/>
  <c r="L36" i="1" s="1"/>
  <c r="J36" i="1"/>
  <c r="O35" i="1"/>
  <c r="Q35" i="1" s="1"/>
  <c r="L35" i="1"/>
  <c r="K35" i="1"/>
  <c r="J35" i="1"/>
  <c r="Q34" i="1"/>
  <c r="P34" i="1"/>
  <c r="O34" i="1"/>
  <c r="K34" i="1"/>
  <c r="L34" i="1" s="1"/>
  <c r="J34" i="1"/>
  <c r="O33" i="1"/>
  <c r="Q33" i="1" s="1"/>
  <c r="K33" i="1"/>
  <c r="L33" i="1" s="1"/>
  <c r="J33" i="1"/>
  <c r="P32" i="1"/>
  <c r="O32" i="1"/>
  <c r="Q32" i="1" s="1"/>
  <c r="K32" i="1"/>
  <c r="L32" i="1" s="1"/>
  <c r="J32" i="1"/>
  <c r="O31" i="1"/>
  <c r="Q31" i="1" s="1"/>
  <c r="L31" i="1"/>
  <c r="K31" i="1"/>
  <c r="J31" i="1"/>
  <c r="Q30" i="1"/>
  <c r="O30" i="1"/>
  <c r="P30" i="1" s="1"/>
  <c r="K30" i="1"/>
  <c r="L30" i="1" s="1"/>
  <c r="J30" i="1"/>
  <c r="O29" i="1"/>
  <c r="Q29" i="1" s="1"/>
  <c r="K29" i="1"/>
  <c r="L29" i="1" s="1"/>
  <c r="J29" i="1"/>
  <c r="P28" i="1"/>
  <c r="O28" i="1"/>
  <c r="Q28" i="1" s="1"/>
  <c r="K28" i="1"/>
  <c r="L28" i="1" s="1"/>
  <c r="J28" i="1"/>
  <c r="O27" i="1"/>
  <c r="Q27" i="1" s="1"/>
  <c r="L27" i="1"/>
  <c r="K27" i="1"/>
  <c r="J27" i="1"/>
  <c r="Q26" i="1"/>
  <c r="O26" i="1"/>
  <c r="P26" i="1" s="1"/>
  <c r="K26" i="1"/>
  <c r="L26" i="1" s="1"/>
  <c r="J26" i="1"/>
  <c r="O25" i="1"/>
  <c r="Q25" i="1" s="1"/>
  <c r="K25" i="1"/>
  <c r="L25" i="1" s="1"/>
  <c r="J25" i="1"/>
  <c r="P24" i="1"/>
  <c r="O24" i="1"/>
  <c r="Q24" i="1" s="1"/>
  <c r="K24" i="1"/>
  <c r="L24" i="1" s="1"/>
  <c r="J24" i="1"/>
  <c r="O23" i="1"/>
  <c r="Q23" i="1" s="1"/>
  <c r="L23" i="1"/>
  <c r="K23" i="1"/>
  <c r="J23" i="1"/>
  <c r="Q22" i="1"/>
  <c r="P22" i="1"/>
  <c r="O22" i="1"/>
  <c r="K22" i="1"/>
  <c r="L22" i="1" s="1"/>
  <c r="J22" i="1"/>
  <c r="O21" i="1"/>
  <c r="Q21" i="1" s="1"/>
  <c r="L21" i="1"/>
  <c r="K21" i="1"/>
  <c r="J21" i="1"/>
  <c r="P20" i="1"/>
  <c r="O20" i="1"/>
  <c r="Q20" i="1" s="1"/>
  <c r="K20" i="1"/>
  <c r="L20" i="1" s="1"/>
  <c r="J20" i="1"/>
  <c r="O19" i="1"/>
  <c r="Q19" i="1" s="1"/>
  <c r="L19" i="1"/>
  <c r="K19" i="1"/>
  <c r="J19" i="1"/>
  <c r="Q18" i="1"/>
  <c r="O18" i="1"/>
  <c r="P18" i="1" s="1"/>
  <c r="K18" i="1"/>
  <c r="L18" i="1" s="1"/>
  <c r="J18" i="1"/>
  <c r="O17" i="1"/>
  <c r="Q17" i="1" s="1"/>
  <c r="K17" i="1"/>
  <c r="L17" i="1" s="1"/>
  <c r="J17" i="1"/>
  <c r="P16" i="1"/>
  <c r="O16" i="1"/>
  <c r="Q16" i="1" s="1"/>
  <c r="K16" i="1"/>
  <c r="L16" i="1" s="1"/>
  <c r="J16" i="1"/>
  <c r="O15" i="1"/>
  <c r="Q15" i="1" s="1"/>
  <c r="L15" i="1"/>
  <c r="K15" i="1"/>
  <c r="J15" i="1"/>
  <c r="Q14" i="1"/>
  <c r="P14" i="1"/>
  <c r="O14" i="1"/>
  <c r="K14" i="1"/>
  <c r="L14" i="1" s="1"/>
  <c r="J14" i="1"/>
  <c r="O13" i="1"/>
  <c r="Q13" i="1" s="1"/>
  <c r="L13" i="1"/>
  <c r="K13" i="1"/>
  <c r="J13" i="1"/>
  <c r="P12" i="1"/>
  <c r="O12" i="1"/>
  <c r="Q12" i="1" s="1"/>
  <c r="K12" i="1"/>
  <c r="L12" i="1" s="1"/>
  <c r="J12" i="1"/>
  <c r="O11" i="1"/>
  <c r="Q11" i="1" s="1"/>
  <c r="L11" i="1"/>
  <c r="K11" i="1"/>
  <c r="J11" i="1"/>
  <c r="Q10" i="1"/>
  <c r="P10" i="1"/>
  <c r="O10" i="1"/>
  <c r="K10" i="1"/>
  <c r="L10" i="1" s="1"/>
  <c r="J10" i="1"/>
  <c r="O9" i="1"/>
  <c r="Q9" i="1" s="1"/>
  <c r="L9" i="1"/>
  <c r="K9" i="1"/>
  <c r="J9" i="1"/>
  <c r="P8" i="1"/>
  <c r="O8" i="1"/>
  <c r="Q8" i="1" s="1"/>
  <c r="K8" i="1"/>
  <c r="L8" i="1" s="1"/>
  <c r="J8" i="1"/>
  <c r="O7" i="1"/>
  <c r="Q7" i="1" s="1"/>
  <c r="L7" i="1"/>
  <c r="K7" i="1"/>
  <c r="J7" i="1"/>
  <c r="Q6" i="1"/>
  <c r="P6" i="1"/>
  <c r="O6" i="1"/>
  <c r="K6" i="1"/>
  <c r="L6" i="1" s="1"/>
  <c r="J6" i="1"/>
  <c r="O5" i="1"/>
  <c r="Q5" i="1" s="1"/>
  <c r="L5" i="1"/>
  <c r="K5" i="1"/>
  <c r="J5" i="1"/>
  <c r="P4" i="1"/>
  <c r="O4" i="1"/>
  <c r="Q4" i="1" s="1"/>
  <c r="K4" i="1"/>
  <c r="L4" i="1" s="1"/>
  <c r="J4" i="1"/>
  <c r="O3" i="1"/>
  <c r="Q3" i="1" s="1"/>
  <c r="L3" i="1"/>
  <c r="K3" i="1"/>
  <c r="J3" i="1"/>
  <c r="Q121" i="1" l="1"/>
  <c r="Q1" i="1" s="1"/>
  <c r="Q119" i="1"/>
  <c r="Q134" i="1"/>
  <c r="Q150" i="1"/>
  <c r="Q166" i="1"/>
  <c r="Q129" i="1"/>
  <c r="Q145" i="1"/>
  <c r="Q161" i="1"/>
  <c r="P119" i="1"/>
  <c r="P127" i="1"/>
  <c r="P135" i="1"/>
  <c r="P143" i="1"/>
  <c r="P151" i="1"/>
  <c r="P159" i="1"/>
  <c r="P167" i="1"/>
  <c r="P3" i="1"/>
  <c r="P1" i="1" s="1"/>
  <c r="P7" i="1"/>
  <c r="P11" i="1"/>
  <c r="P15" i="1"/>
  <c r="P19" i="1"/>
  <c r="P23" i="1"/>
  <c r="P27" i="1"/>
  <c r="P31" i="1"/>
  <c r="P35" i="1"/>
  <c r="P39" i="1"/>
  <c r="P43" i="1"/>
  <c r="P47" i="1"/>
  <c r="P51" i="1"/>
  <c r="P55" i="1"/>
  <c r="P59" i="1"/>
  <c r="P63" i="1"/>
  <c r="P67" i="1"/>
  <c r="P71" i="1"/>
  <c r="P75" i="1"/>
  <c r="P79" i="1"/>
  <c r="P83" i="1"/>
  <c r="P87" i="1"/>
  <c r="P91" i="1"/>
  <c r="P95" i="1"/>
  <c r="P99" i="1"/>
  <c r="P103" i="1"/>
  <c r="P107" i="1"/>
  <c r="P111" i="1"/>
  <c r="P115" i="1"/>
  <c r="P124" i="1"/>
  <c r="P132" i="1"/>
  <c r="P140" i="1"/>
  <c r="P148" i="1"/>
  <c r="P156" i="1"/>
  <c r="P164" i="1"/>
  <c r="P121" i="1"/>
  <c r="P137" i="1"/>
  <c r="P145" i="1"/>
  <c r="P153" i="1"/>
  <c r="P161" i="1"/>
  <c r="P110" i="1"/>
  <c r="P114" i="1"/>
  <c r="P118" i="1"/>
  <c r="P126" i="1"/>
  <c r="P134" i="1"/>
  <c r="P142" i="1"/>
  <c r="P150" i="1"/>
  <c r="P158" i="1"/>
  <c r="P166" i="1"/>
  <c r="P5" i="1"/>
  <c r="P9" i="1"/>
  <c r="P13" i="1"/>
  <c r="P17" i="1"/>
  <c r="P21" i="1"/>
  <c r="P25" i="1"/>
  <c r="P29" i="1"/>
  <c r="P33" i="1"/>
  <c r="P37" i="1"/>
  <c r="P41" i="1"/>
  <c r="P45" i="1"/>
  <c r="P49" i="1"/>
  <c r="P53" i="1"/>
  <c r="P57" i="1"/>
  <c r="P61" i="1"/>
  <c r="P65" i="1"/>
  <c r="P69" i="1"/>
  <c r="P73" i="1"/>
  <c r="P77" i="1"/>
  <c r="P81" i="1"/>
  <c r="P85" i="1"/>
  <c r="P89" i="1"/>
  <c r="P93" i="1"/>
  <c r="P97" i="1"/>
  <c r="P101" i="1"/>
  <c r="P105" i="1"/>
  <c r="P168" i="1"/>
</calcChain>
</file>

<file path=xl/sharedStrings.xml><?xml version="1.0" encoding="utf-8"?>
<sst xmlns="http://schemas.openxmlformats.org/spreadsheetml/2006/main" count="514" uniqueCount="111">
  <si>
    <t xml:space="preserve">SR no
</t>
  </si>
  <si>
    <t>PO No.</t>
  </si>
  <si>
    <t>Material Number</t>
  </si>
  <si>
    <t>Material Description</t>
  </si>
  <si>
    <t>Unit</t>
  </si>
  <si>
    <t>Reciept Qty</t>
  </si>
  <si>
    <t>JSIL RATE</t>
  </si>
  <si>
    <t>BOROSIL RATE</t>
  </si>
  <si>
    <t>Therm Rate</t>
  </si>
  <si>
    <t>Diff</t>
  </si>
  <si>
    <t>Total saving</t>
  </si>
  <si>
    <t>PLANT</t>
  </si>
  <si>
    <t>Remark</t>
  </si>
  <si>
    <t>Actual Price</t>
  </si>
  <si>
    <t>Total Savings</t>
  </si>
  <si>
    <t>Missed Savings</t>
  </si>
  <si>
    <t>GLASS BEAKER 500ML</t>
  </si>
  <si>
    <t>NOS</t>
  </si>
  <si>
    <t>PTN</t>
  </si>
  <si>
    <t>GLASS BEAKERS 100ML</t>
  </si>
  <si>
    <t>GRADUATED PIPETTE 0.1 ML</t>
  </si>
  <si>
    <t>MEASURING CYLINDER 500 ML</t>
  </si>
  <si>
    <t>MEASURING CYLINDER-25ML</t>
  </si>
  <si>
    <t>MEASURING CYLINDER-50 ML</t>
  </si>
  <si>
    <t>VOLUMETRIC PIPETTE 10ML CLASS "A"</t>
  </si>
  <si>
    <t>VOLUMETRIC PIPETTE 1ML CLASS "A"</t>
  </si>
  <si>
    <t>VOLUMETRIC PIPETTE 20ML CLASS "A"</t>
  </si>
  <si>
    <t>VOLUMETRIC PIPETTE 2ML CLASS "A"</t>
  </si>
  <si>
    <t>VOLUMETRIC PIPETTE 3ML CLASS "A"</t>
  </si>
  <si>
    <t>VOLUMETRIC PIPETTE 5ML CLASS "A"</t>
  </si>
  <si>
    <t>WEIGHING SCOOP, CAP 1ML , MAKE BOROSIL</t>
  </si>
  <si>
    <t>WEIGHING SCOOP, CAP 2ML , MAKE BOROSIL</t>
  </si>
  <si>
    <t>WEIGHING SCOOP, CAP 3ML , MAKE BOROSIL  </t>
  </si>
  <si>
    <t>WEIGHING SCOOP, CAP 6ML , MAKE BOROSIL</t>
  </si>
  <si>
    <t>WEIGHING SCOOP, CAP 10ML , MAKE BOROSIL</t>
  </si>
  <si>
    <t>Pipettes Transfer Volumetric Class A 50M</t>
  </si>
  <si>
    <t>BEAKER 50 ML</t>
  </si>
  <si>
    <t>CTGN</t>
  </si>
  <si>
    <t>BULB PIPETTE 1 ML</t>
  </si>
  <si>
    <t>BULB PIPETTE 2 ML</t>
  </si>
  <si>
    <t>BULB PIPETTE 4ML</t>
  </si>
  <si>
    <t>BULB PIPETTE 5 ML</t>
  </si>
  <si>
    <t>GLASS BEAKER 250ML</t>
  </si>
  <si>
    <t>GLASS FUNNEL 75 MM</t>
  </si>
  <si>
    <t>GLASS MEASURING CYLINDER 250 ML</t>
  </si>
  <si>
    <t>MEASURING CYLINDER 1000 ML</t>
  </si>
  <si>
    <t>MEASURING CYLINDER-100ML</t>
  </si>
  <si>
    <t>MEASURING CYLINDER-10ML</t>
  </si>
  <si>
    <t>MOBILE PHASE BOTTLE 3000ML</t>
  </si>
  <si>
    <t>VOLUMETRIC FLASK 200ML AMBER</t>
  </si>
  <si>
    <t>VOLUMETRIC FLASK 500ML</t>
  </si>
  <si>
    <t>VOLUMETRIC FLASK 10 ML - CLASS A</t>
  </si>
  <si>
    <t>VOLUMETRIC FLASK 100 ML - CLASS A</t>
  </si>
  <si>
    <t>VOLUMETRIC FLASK 100 ML AMBER COLOUR</t>
  </si>
  <si>
    <t>VOLUMETRIC FLASK 20 ML</t>
  </si>
  <si>
    <t>VOLUMETRIC FLASK 200 ML - CLASS A</t>
  </si>
  <si>
    <t>VOLUMETRIC FLASK 25 ML - CLASS A</t>
  </si>
  <si>
    <t>VOLUMETRIC FLASK 250 ML</t>
  </si>
  <si>
    <t>VOLUMETRIC FLASK 50 ML</t>
  </si>
  <si>
    <t>Glass Beaker 100ml</t>
  </si>
  <si>
    <t>Weighing scoop 1 ml</t>
  </si>
  <si>
    <t>GLASS FUNNEL 50MM</t>
  </si>
  <si>
    <t>CKT</t>
  </si>
  <si>
    <t>BEAKERS 100 ML</t>
  </si>
  <si>
    <t>WLJ-API</t>
  </si>
  <si>
    <t>GLASS FUNNELS (SMALL)Funel,pl.,60CAngle,LongStem65MM</t>
  </si>
  <si>
    <t>MEASURING CYLINDER 250 ML</t>
  </si>
  <si>
    <t>MOBILE PHASE BOTTLE 10 LTR</t>
  </si>
  <si>
    <t>HPLC AMBER COLOUR 2 ML VIALS</t>
  </si>
  <si>
    <t>MOBILE PHASE BOTTLE 1000ML</t>
  </si>
  <si>
    <t>MOBILE PHASE BOTTLE 2000ML</t>
  </si>
  <si>
    <t>MOBILE PHASE BOTTLE 5 LTR</t>
  </si>
  <si>
    <t>MOBILE PHASE BOTTLE 500ML</t>
  </si>
  <si>
    <t>VOLUMETRIC FLASK 1000 ML</t>
  </si>
  <si>
    <t>GLASS AMBER COLOUR VIAL -10ML</t>
  </si>
  <si>
    <t>GLASS LOD BOTTLE, SQUAT FORM 40 ML</t>
  </si>
  <si>
    <t>GLASS BOTTLE WITH SCREW CAP 250 ML</t>
  </si>
  <si>
    <t>GLASS BOTTLES WITH CAP (100 ML CAPACITY)</t>
  </si>
  <si>
    <t>WORKING STANDARD BOTTLE (AMBER) 5 ML</t>
  </si>
  <si>
    <t>FILTER FLASK- 2 LITER</t>
  </si>
  <si>
    <t>BOTTLE 500 ML</t>
  </si>
  <si>
    <t>LOD BOTTLE 20 ML</t>
  </si>
  <si>
    <t>Graduated Test tube with I/C Glass stopper, 50ml, Borosil, Cat. no.: 9830012</t>
  </si>
  <si>
    <t>GWHT</t>
  </si>
  <si>
    <t>Graduated Test tube with I/C Glass stopper,100ml, Borosil, Cat. no.: 9830016</t>
  </si>
  <si>
    <t>SEPARATING FUNNEL 125ML</t>
  </si>
  <si>
    <t>21801545 Screw cap bottle 1000 ml</t>
  </si>
  <si>
    <t>21801445 Screw cap bottle 500 ml</t>
  </si>
  <si>
    <t>BEAKERS 250 ML</t>
  </si>
  <si>
    <t>PTMR</t>
  </si>
  <si>
    <t>BEAKER 150 ML</t>
  </si>
  <si>
    <t>GLASS BEAKER 50ML</t>
  </si>
  <si>
    <t>MEASURING CYLINDER -UNSTOPPERED - 50ML</t>
  </si>
  <si>
    <t>GLASS MEASURING CYLINDER 25 ML</t>
  </si>
  <si>
    <t>GLASS MEASURING CYLINDER 10 ML</t>
  </si>
  <si>
    <t>VOLUMETRIC FLASK 500 ML CLEARL</t>
  </si>
  <si>
    <t>VOLUMETRIC FLASK 20 ML AMBER</t>
  </si>
  <si>
    <t>VOLUMETRIC FLASK 2000 ML</t>
  </si>
  <si>
    <t>VOLUMETRIC FLASK,1000ML,CLASS 'A', AMBER</t>
  </si>
  <si>
    <t>BEAKER 10 LTR</t>
  </si>
  <si>
    <t>Pasteur pipette 3 ml cat no. 940050</t>
  </si>
  <si>
    <t>CONICAL FLASK 250 ML</t>
  </si>
  <si>
    <t>FILTRATION FLASK 1 LTR</t>
  </si>
  <si>
    <t>FILTRATION FLASK 2 LTR</t>
  </si>
  <si>
    <t>GLASS BEAKER 1L</t>
  </si>
  <si>
    <t>VOLUMATRIC FLASK 500ML - AMBER</t>
  </si>
  <si>
    <t>VOLUMETRIC FLASK 250 ML - AMBER COLOURED</t>
  </si>
  <si>
    <t>VOLUMETRIC FLASK 50ML AMBER COLOUR</t>
  </si>
  <si>
    <t>VOLUMETRIC PIPETTE 4ML CLASS "A"</t>
  </si>
  <si>
    <t>VOLUMETRIC PIPETTE 6 ML - A CLASS</t>
  </si>
  <si>
    <t>VOLUMETRIC FLASK A CLASS AMBER USP 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</si>
</sst>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3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6" xfId="0" applyBorder="1"/>
    <xf numFmtId="0" fontId="2" fillId="0" borderId="7" xfId="0" applyFont="1" applyBorder="1" applyAlignment="1">
      <alignment horizontal="left" vertical="top"/>
    </xf>
    <xf numFmtId="4" fontId="0" fillId="0" borderId="0" xfId="0" applyNumberFormat="1" applyAlignment="1">
      <alignment vertical="top"/>
    </xf>
    <xf numFmtId="164" fontId="2" fillId="0" borderId="7" xfId="1" applyNumberFormat="1" applyFont="1" applyBorder="1" applyAlignment="1">
      <alignment horizontal="left" vertical="top"/>
    </xf>
    <xf numFmtId="164" fontId="2" fillId="0" borderId="7" xfId="1" applyNumberFormat="1" applyFont="1" applyBorder="1" applyAlignment="1">
      <alignment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vertical="top"/>
    </xf>
    <xf numFmtId="4" fontId="0" fillId="0" borderId="0" xfId="0" applyNumberFormat="1"/>
    <xf numFmtId="0" fontId="2" fillId="0" borderId="0" xfId="0" applyFont="1" applyAlignment="1">
      <alignment vertical="top"/>
    </xf>
    <xf numFmtId="164" fontId="2" fillId="0" borderId="10" xfId="1" applyNumberFormat="1" applyFont="1" applyFill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6A1D-5817-433D-B5F7-D70CB48E5417}">
  <dimension ref="B1:Q168"/>
  <sheetViews>
    <sheetView tabSelected="1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M2" sqref="M2"/>
    </sheetView>
  </sheetViews>
  <sheetFormatPr defaultRowHeight="14.5" x14ac:dyDescent="0.35"/>
  <cols>
    <col min="3" max="3" width="10.81640625" bestFit="1" customWidth="1"/>
    <col min="5" max="5" width="39.7265625" bestFit="1" customWidth="1"/>
    <col min="11" max="11" width="0" hidden="1" customWidth="1"/>
    <col min="16" max="16" width="12.1796875" bestFit="1" customWidth="1"/>
    <col min="17" max="17" width="11.1796875" bestFit="1" customWidth="1"/>
  </cols>
  <sheetData>
    <row r="1" spans="2:17" x14ac:dyDescent="0.35">
      <c r="P1" s="1">
        <f>SUM(P3:P168)</f>
        <v>3560304.6</v>
      </c>
      <c r="Q1" s="1">
        <f>SUM(Q3:Q168)</f>
        <v>945717</v>
      </c>
    </row>
    <row r="2" spans="2:17" ht="29" x14ac:dyDescent="0.35">
      <c r="B2" s="2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4" t="s">
        <v>11</v>
      </c>
      <c r="N2" s="4" t="s">
        <v>12</v>
      </c>
      <c r="O2" s="5" t="s">
        <v>13</v>
      </c>
      <c r="P2" s="5" t="s">
        <v>14</v>
      </c>
      <c r="Q2" s="5" t="s">
        <v>15</v>
      </c>
    </row>
    <row r="3" spans="2:17" x14ac:dyDescent="0.35">
      <c r="B3" s="6">
        <v>1</v>
      </c>
      <c r="C3" s="7">
        <v>4100253575</v>
      </c>
      <c r="D3" s="8">
        <v>6602933</v>
      </c>
      <c r="E3" t="s">
        <v>16</v>
      </c>
      <c r="F3" s="9" t="s">
        <v>17</v>
      </c>
      <c r="G3" s="7">
        <v>100</v>
      </c>
      <c r="H3" s="10">
        <v>97.5</v>
      </c>
      <c r="I3" s="11">
        <v>105</v>
      </c>
      <c r="J3" s="11">
        <f>H3*115%</f>
        <v>112.12499999999999</v>
      </c>
      <c r="K3" s="12">
        <f>I3-H3</f>
        <v>7.5</v>
      </c>
      <c r="L3" s="12">
        <f>G3*K3</f>
        <v>750</v>
      </c>
      <c r="M3" s="13" t="s">
        <v>18</v>
      </c>
      <c r="N3" s="14"/>
      <c r="O3" s="15">
        <f>H3</f>
        <v>97.5</v>
      </c>
      <c r="P3" s="1">
        <f>(I3-O3)*G3</f>
        <v>750</v>
      </c>
      <c r="Q3">
        <f>IF(O3=MIN(H3:J3),"0",O3-MIN(H3:J3))*G3</f>
        <v>0</v>
      </c>
    </row>
    <row r="4" spans="2:17" x14ac:dyDescent="0.35">
      <c r="B4" s="6">
        <v>2</v>
      </c>
      <c r="C4" s="7">
        <v>4100260103</v>
      </c>
      <c r="D4" s="8">
        <v>6602933</v>
      </c>
      <c r="E4" t="s">
        <v>16</v>
      </c>
      <c r="F4" s="9" t="s">
        <v>17</v>
      </c>
      <c r="G4" s="7">
        <v>100</v>
      </c>
      <c r="H4" s="10">
        <v>97.5</v>
      </c>
      <c r="I4" s="11">
        <v>105</v>
      </c>
      <c r="J4" s="11">
        <f t="shared" ref="J4:J57" si="0">H4*115%</f>
        <v>112.12499999999999</v>
      </c>
      <c r="K4" s="12">
        <f>I4-H4</f>
        <v>7.5</v>
      </c>
      <c r="L4" s="12">
        <f>G4*K4</f>
        <v>750</v>
      </c>
      <c r="M4" s="13" t="s">
        <v>18</v>
      </c>
      <c r="N4" s="14"/>
      <c r="O4" s="15">
        <f t="shared" ref="O4:O59" si="1">H4</f>
        <v>97.5</v>
      </c>
      <c r="P4" s="1">
        <f t="shared" ref="P4:P67" si="2">(I4-O4)*G4</f>
        <v>750</v>
      </c>
      <c r="Q4">
        <f t="shared" ref="Q4:Q67" si="3">IF(O4=MIN(H4:J4),"0",O4-MIN(H4:J4))*G4</f>
        <v>0</v>
      </c>
    </row>
    <row r="5" spans="2:17" x14ac:dyDescent="0.35">
      <c r="B5" s="6">
        <v>3</v>
      </c>
      <c r="C5" s="16">
        <v>4100253575</v>
      </c>
      <c r="D5" s="8">
        <v>6602936</v>
      </c>
      <c r="E5" t="s">
        <v>19</v>
      </c>
      <c r="F5" s="9" t="s">
        <v>17</v>
      </c>
      <c r="G5" s="7">
        <v>100</v>
      </c>
      <c r="H5" s="10">
        <v>50.7</v>
      </c>
      <c r="I5" s="11">
        <v>60</v>
      </c>
      <c r="J5" s="11">
        <f t="shared" si="0"/>
        <v>58.305</v>
      </c>
      <c r="K5" s="12">
        <f t="shared" ref="K5:K57" si="4">I5-H5</f>
        <v>9.2999999999999972</v>
      </c>
      <c r="L5" s="12">
        <f t="shared" ref="L5:L68" si="5">G5*K5</f>
        <v>929.99999999999977</v>
      </c>
      <c r="M5" s="13" t="s">
        <v>18</v>
      </c>
      <c r="N5" s="14"/>
      <c r="O5" s="15">
        <f t="shared" si="1"/>
        <v>50.7</v>
      </c>
      <c r="P5" s="1">
        <f t="shared" si="2"/>
        <v>929.99999999999977</v>
      </c>
      <c r="Q5">
        <f t="shared" si="3"/>
        <v>0</v>
      </c>
    </row>
    <row r="6" spans="2:17" x14ac:dyDescent="0.35">
      <c r="B6" s="6">
        <v>4</v>
      </c>
      <c r="C6" s="16">
        <v>4100250463</v>
      </c>
      <c r="D6" s="8">
        <v>6602977</v>
      </c>
      <c r="E6" t="s">
        <v>20</v>
      </c>
      <c r="F6" s="9" t="s">
        <v>17</v>
      </c>
      <c r="G6" s="7">
        <v>100</v>
      </c>
      <c r="H6" s="10">
        <v>247</v>
      </c>
      <c r="I6" s="11">
        <v>390</v>
      </c>
      <c r="J6" s="11">
        <f t="shared" si="0"/>
        <v>284.04999999999995</v>
      </c>
      <c r="K6" s="12">
        <f t="shared" si="4"/>
        <v>143</v>
      </c>
      <c r="L6" s="12">
        <f t="shared" si="5"/>
        <v>14300</v>
      </c>
      <c r="M6" s="13" t="s">
        <v>18</v>
      </c>
      <c r="N6" s="14"/>
      <c r="O6" s="15">
        <f t="shared" si="1"/>
        <v>247</v>
      </c>
      <c r="P6" s="1">
        <f t="shared" si="2"/>
        <v>14300</v>
      </c>
      <c r="Q6">
        <f t="shared" si="3"/>
        <v>0</v>
      </c>
    </row>
    <row r="7" spans="2:17" x14ac:dyDescent="0.35">
      <c r="B7" s="6">
        <v>5</v>
      </c>
      <c r="C7" s="16">
        <v>4100264897</v>
      </c>
      <c r="D7" s="8">
        <v>6603438</v>
      </c>
      <c r="E7" t="s">
        <v>21</v>
      </c>
      <c r="F7" s="9" t="s">
        <v>17</v>
      </c>
      <c r="G7" s="7">
        <v>50</v>
      </c>
      <c r="H7" s="10">
        <v>975</v>
      </c>
      <c r="I7" s="11">
        <v>1239</v>
      </c>
      <c r="J7" s="11">
        <f t="shared" si="0"/>
        <v>1121.25</v>
      </c>
      <c r="K7" s="12">
        <f t="shared" si="4"/>
        <v>264</v>
      </c>
      <c r="L7" s="12">
        <f t="shared" si="5"/>
        <v>13200</v>
      </c>
      <c r="M7" s="13" t="s">
        <v>18</v>
      </c>
      <c r="N7" s="14"/>
      <c r="O7" s="15">
        <f t="shared" si="1"/>
        <v>975</v>
      </c>
      <c r="P7" s="1">
        <f t="shared" si="2"/>
        <v>13200</v>
      </c>
      <c r="Q7">
        <f t="shared" si="3"/>
        <v>0</v>
      </c>
    </row>
    <row r="8" spans="2:17" x14ac:dyDescent="0.35">
      <c r="B8" s="6">
        <v>6</v>
      </c>
      <c r="C8" s="16">
        <v>4100264897</v>
      </c>
      <c r="D8" s="8">
        <v>6603448</v>
      </c>
      <c r="E8" t="s">
        <v>22</v>
      </c>
      <c r="F8" s="9" t="s">
        <v>17</v>
      </c>
      <c r="G8" s="7">
        <v>100</v>
      </c>
      <c r="H8" s="10">
        <v>357.5</v>
      </c>
      <c r="I8" s="11">
        <v>438</v>
      </c>
      <c r="J8" s="11">
        <f t="shared" si="0"/>
        <v>411.12499999999994</v>
      </c>
      <c r="K8" s="12">
        <f t="shared" si="4"/>
        <v>80.5</v>
      </c>
      <c r="L8" s="12">
        <f t="shared" si="5"/>
        <v>8050</v>
      </c>
      <c r="M8" s="13" t="s">
        <v>18</v>
      </c>
      <c r="N8" s="14"/>
      <c r="O8" s="15">
        <f t="shared" si="1"/>
        <v>357.5</v>
      </c>
      <c r="P8" s="1">
        <f t="shared" si="2"/>
        <v>8050</v>
      </c>
      <c r="Q8">
        <f t="shared" si="3"/>
        <v>0</v>
      </c>
    </row>
    <row r="9" spans="2:17" x14ac:dyDescent="0.35">
      <c r="B9" s="6">
        <v>7</v>
      </c>
      <c r="C9" s="16">
        <v>4100264897</v>
      </c>
      <c r="D9" s="8">
        <v>6603450</v>
      </c>
      <c r="E9" t="s">
        <v>23</v>
      </c>
      <c r="F9" s="9" t="s">
        <v>17</v>
      </c>
      <c r="G9" s="7">
        <v>100</v>
      </c>
      <c r="H9" s="10">
        <v>422.5</v>
      </c>
      <c r="I9" s="11">
        <v>531</v>
      </c>
      <c r="J9" s="11">
        <f t="shared" si="0"/>
        <v>485.87499999999994</v>
      </c>
      <c r="K9" s="12">
        <f t="shared" si="4"/>
        <v>108.5</v>
      </c>
      <c r="L9" s="12">
        <f t="shared" si="5"/>
        <v>10850</v>
      </c>
      <c r="M9" s="13" t="s">
        <v>18</v>
      </c>
      <c r="N9" s="14"/>
      <c r="O9" s="15">
        <f t="shared" si="1"/>
        <v>422.5</v>
      </c>
      <c r="P9" s="1">
        <f t="shared" si="2"/>
        <v>10850</v>
      </c>
      <c r="Q9">
        <f t="shared" si="3"/>
        <v>0</v>
      </c>
    </row>
    <row r="10" spans="2:17" x14ac:dyDescent="0.35">
      <c r="B10" s="6">
        <v>8</v>
      </c>
      <c r="C10" s="16">
        <v>4100261597</v>
      </c>
      <c r="D10" s="8">
        <v>6604014</v>
      </c>
      <c r="E10" t="s">
        <v>24</v>
      </c>
      <c r="F10" s="9" t="s">
        <v>17</v>
      </c>
      <c r="G10" s="7">
        <v>300</v>
      </c>
      <c r="H10" s="10">
        <v>253.5</v>
      </c>
      <c r="I10" s="11">
        <v>348</v>
      </c>
      <c r="J10" s="11">
        <f t="shared" si="0"/>
        <v>291.52499999999998</v>
      </c>
      <c r="K10" s="12">
        <f t="shared" si="4"/>
        <v>94.5</v>
      </c>
      <c r="L10" s="12">
        <f t="shared" si="5"/>
        <v>28350</v>
      </c>
      <c r="M10" s="13" t="s">
        <v>18</v>
      </c>
      <c r="N10" s="14"/>
      <c r="O10" s="15">
        <f t="shared" si="1"/>
        <v>253.5</v>
      </c>
      <c r="P10" s="1">
        <f t="shared" si="2"/>
        <v>28350</v>
      </c>
      <c r="Q10">
        <f t="shared" si="3"/>
        <v>0</v>
      </c>
    </row>
    <row r="11" spans="2:17" x14ac:dyDescent="0.35">
      <c r="B11" s="6">
        <v>9</v>
      </c>
      <c r="C11" s="16">
        <v>4100261597</v>
      </c>
      <c r="D11" s="8">
        <v>6604016</v>
      </c>
      <c r="E11" t="s">
        <v>25</v>
      </c>
      <c r="F11" s="9" t="s">
        <v>17</v>
      </c>
      <c r="G11" s="7">
        <v>300</v>
      </c>
      <c r="H11" s="10">
        <v>188.5</v>
      </c>
      <c r="I11" s="11">
        <v>249</v>
      </c>
      <c r="J11" s="11">
        <f t="shared" si="0"/>
        <v>216.77499999999998</v>
      </c>
      <c r="K11" s="12">
        <f t="shared" si="4"/>
        <v>60.5</v>
      </c>
      <c r="L11" s="12">
        <f t="shared" si="5"/>
        <v>18150</v>
      </c>
      <c r="M11" s="13" t="s">
        <v>18</v>
      </c>
      <c r="N11" s="14"/>
      <c r="O11" s="15">
        <f t="shared" si="1"/>
        <v>188.5</v>
      </c>
      <c r="P11" s="1">
        <f t="shared" si="2"/>
        <v>18150</v>
      </c>
      <c r="Q11">
        <f t="shared" si="3"/>
        <v>0</v>
      </c>
    </row>
    <row r="12" spans="2:17" x14ac:dyDescent="0.35">
      <c r="B12" s="6">
        <v>10</v>
      </c>
      <c r="C12" s="16">
        <v>4100261597</v>
      </c>
      <c r="D12" s="8">
        <v>6604017</v>
      </c>
      <c r="E12" t="s">
        <v>26</v>
      </c>
      <c r="F12" s="9" t="s">
        <v>17</v>
      </c>
      <c r="G12" s="7">
        <v>100</v>
      </c>
      <c r="H12" s="10">
        <v>299</v>
      </c>
      <c r="I12" s="11">
        <v>456</v>
      </c>
      <c r="J12" s="11">
        <f t="shared" si="0"/>
        <v>343.84999999999997</v>
      </c>
      <c r="K12" s="12">
        <f t="shared" si="4"/>
        <v>157</v>
      </c>
      <c r="L12" s="12">
        <f t="shared" si="5"/>
        <v>15700</v>
      </c>
      <c r="M12" s="13" t="s">
        <v>18</v>
      </c>
      <c r="N12" s="14"/>
      <c r="O12" s="15">
        <f t="shared" si="1"/>
        <v>299</v>
      </c>
      <c r="P12" s="1">
        <f t="shared" si="2"/>
        <v>15700</v>
      </c>
      <c r="Q12">
        <f t="shared" si="3"/>
        <v>0</v>
      </c>
    </row>
    <row r="13" spans="2:17" x14ac:dyDescent="0.35">
      <c r="B13" s="6">
        <v>11</v>
      </c>
      <c r="C13" s="16">
        <v>4100261597</v>
      </c>
      <c r="D13" s="8">
        <v>6604019</v>
      </c>
      <c r="E13" t="s">
        <v>27</v>
      </c>
      <c r="F13" s="9" t="s">
        <v>17</v>
      </c>
      <c r="G13" s="7">
        <v>200</v>
      </c>
      <c r="H13" s="10">
        <v>195</v>
      </c>
      <c r="I13" s="11">
        <v>279</v>
      </c>
      <c r="J13" s="11">
        <f t="shared" si="0"/>
        <v>224.24999999999997</v>
      </c>
      <c r="K13" s="12">
        <f t="shared" si="4"/>
        <v>84</v>
      </c>
      <c r="L13" s="12">
        <f t="shared" si="5"/>
        <v>16800</v>
      </c>
      <c r="M13" s="13" t="s">
        <v>18</v>
      </c>
      <c r="N13" s="14"/>
      <c r="O13" s="15">
        <f t="shared" si="1"/>
        <v>195</v>
      </c>
      <c r="P13" s="1">
        <f t="shared" si="2"/>
        <v>16800</v>
      </c>
      <c r="Q13">
        <f t="shared" si="3"/>
        <v>0</v>
      </c>
    </row>
    <row r="14" spans="2:17" x14ac:dyDescent="0.35">
      <c r="B14" s="6">
        <v>12</v>
      </c>
      <c r="C14" s="16">
        <v>4100261597</v>
      </c>
      <c r="D14" s="8">
        <v>6604020</v>
      </c>
      <c r="E14" t="s">
        <v>28</v>
      </c>
      <c r="F14" s="9" t="s">
        <v>17</v>
      </c>
      <c r="G14" s="7">
        <v>100</v>
      </c>
      <c r="H14" s="10">
        <v>227.5</v>
      </c>
      <c r="I14" s="11">
        <v>294</v>
      </c>
      <c r="J14" s="11">
        <f t="shared" si="0"/>
        <v>261.625</v>
      </c>
      <c r="K14" s="12">
        <f t="shared" si="4"/>
        <v>66.5</v>
      </c>
      <c r="L14" s="12">
        <f t="shared" si="5"/>
        <v>6650</v>
      </c>
      <c r="M14" s="13" t="s">
        <v>18</v>
      </c>
      <c r="N14" s="14"/>
      <c r="O14" s="15">
        <f t="shared" si="1"/>
        <v>227.5</v>
      </c>
      <c r="P14" s="1">
        <f t="shared" si="2"/>
        <v>6650</v>
      </c>
      <c r="Q14">
        <f t="shared" si="3"/>
        <v>0</v>
      </c>
    </row>
    <row r="15" spans="2:17" x14ac:dyDescent="0.35">
      <c r="B15" s="6">
        <v>13</v>
      </c>
      <c r="C15" s="16">
        <v>4100261597</v>
      </c>
      <c r="D15" s="8">
        <v>6604023</v>
      </c>
      <c r="E15" t="s">
        <v>29</v>
      </c>
      <c r="F15" s="9" t="s">
        <v>17</v>
      </c>
      <c r="G15" s="7">
        <v>400</v>
      </c>
      <c r="H15" s="10">
        <v>221</v>
      </c>
      <c r="I15" s="11">
        <v>297</v>
      </c>
      <c r="J15" s="11">
        <f t="shared" si="0"/>
        <v>254.14999999999998</v>
      </c>
      <c r="K15" s="12">
        <f t="shared" si="4"/>
        <v>76</v>
      </c>
      <c r="L15" s="12">
        <f t="shared" si="5"/>
        <v>30400</v>
      </c>
      <c r="M15" s="13" t="s">
        <v>18</v>
      </c>
      <c r="N15" s="14"/>
      <c r="O15" s="15">
        <f t="shared" si="1"/>
        <v>221</v>
      </c>
      <c r="P15" s="1">
        <f t="shared" si="2"/>
        <v>30400</v>
      </c>
      <c r="Q15">
        <f t="shared" si="3"/>
        <v>0</v>
      </c>
    </row>
    <row r="16" spans="2:17" x14ac:dyDescent="0.35">
      <c r="B16" s="6">
        <v>14</v>
      </c>
      <c r="C16" s="16">
        <v>4100260103</v>
      </c>
      <c r="D16" s="8">
        <v>6606387</v>
      </c>
      <c r="E16" t="s">
        <v>30</v>
      </c>
      <c r="F16" s="9" t="s">
        <v>17</v>
      </c>
      <c r="G16" s="7">
        <v>500</v>
      </c>
      <c r="H16" s="10">
        <v>104</v>
      </c>
      <c r="I16" s="11">
        <v>162</v>
      </c>
      <c r="J16" s="11">
        <f t="shared" si="0"/>
        <v>119.6</v>
      </c>
      <c r="K16" s="12">
        <f t="shared" si="4"/>
        <v>58</v>
      </c>
      <c r="L16" s="12">
        <f t="shared" si="5"/>
        <v>29000</v>
      </c>
      <c r="M16" s="13" t="s">
        <v>18</v>
      </c>
      <c r="N16" s="14"/>
      <c r="O16" s="15">
        <f t="shared" si="1"/>
        <v>104</v>
      </c>
      <c r="P16" s="1">
        <f t="shared" si="2"/>
        <v>29000</v>
      </c>
      <c r="Q16">
        <f t="shared" si="3"/>
        <v>0</v>
      </c>
    </row>
    <row r="17" spans="2:17" x14ac:dyDescent="0.35">
      <c r="B17" s="6">
        <v>15</v>
      </c>
      <c r="C17" s="16">
        <v>4100260649</v>
      </c>
      <c r="D17" s="8">
        <v>6606388</v>
      </c>
      <c r="E17" t="s">
        <v>31</v>
      </c>
      <c r="F17" s="9" t="s">
        <v>17</v>
      </c>
      <c r="G17" s="7">
        <v>500</v>
      </c>
      <c r="H17" s="10">
        <v>104</v>
      </c>
      <c r="I17" s="11">
        <v>162</v>
      </c>
      <c r="J17" s="11">
        <f t="shared" si="0"/>
        <v>119.6</v>
      </c>
      <c r="K17" s="12">
        <f t="shared" si="4"/>
        <v>58</v>
      </c>
      <c r="L17" s="12">
        <f t="shared" si="5"/>
        <v>29000</v>
      </c>
      <c r="M17" s="13" t="s">
        <v>18</v>
      </c>
      <c r="N17" s="14"/>
      <c r="O17" s="15">
        <f t="shared" si="1"/>
        <v>104</v>
      </c>
      <c r="P17" s="1">
        <f t="shared" si="2"/>
        <v>29000</v>
      </c>
      <c r="Q17">
        <f t="shared" si="3"/>
        <v>0</v>
      </c>
    </row>
    <row r="18" spans="2:17" x14ac:dyDescent="0.35">
      <c r="B18" s="6">
        <v>16</v>
      </c>
      <c r="C18" s="16">
        <v>4100260103</v>
      </c>
      <c r="D18" s="8">
        <v>6606389</v>
      </c>
      <c r="E18" t="s">
        <v>32</v>
      </c>
      <c r="F18" s="9" t="s">
        <v>17</v>
      </c>
      <c r="G18" s="7">
        <v>500</v>
      </c>
      <c r="H18" s="10">
        <v>104</v>
      </c>
      <c r="I18" s="11">
        <v>132</v>
      </c>
      <c r="J18" s="11">
        <f t="shared" si="0"/>
        <v>119.6</v>
      </c>
      <c r="K18" s="12">
        <f t="shared" si="4"/>
        <v>28</v>
      </c>
      <c r="L18" s="12">
        <f t="shared" si="5"/>
        <v>14000</v>
      </c>
      <c r="M18" s="13" t="s">
        <v>18</v>
      </c>
      <c r="N18" s="14"/>
      <c r="O18" s="15">
        <f t="shared" si="1"/>
        <v>104</v>
      </c>
      <c r="P18" s="1">
        <f t="shared" si="2"/>
        <v>14000</v>
      </c>
      <c r="Q18">
        <f t="shared" si="3"/>
        <v>0</v>
      </c>
    </row>
    <row r="19" spans="2:17" x14ac:dyDescent="0.35">
      <c r="B19" s="6">
        <v>17</v>
      </c>
      <c r="C19" s="16">
        <v>4100260103</v>
      </c>
      <c r="D19" s="8">
        <v>6606390</v>
      </c>
      <c r="E19" t="s">
        <v>33</v>
      </c>
      <c r="F19" s="9" t="s">
        <v>17</v>
      </c>
      <c r="G19" s="7">
        <v>300</v>
      </c>
      <c r="H19" s="10">
        <v>123.5</v>
      </c>
      <c r="I19" s="11">
        <v>174</v>
      </c>
      <c r="J19" s="11">
        <f t="shared" si="0"/>
        <v>142.02499999999998</v>
      </c>
      <c r="K19" s="12">
        <f t="shared" si="4"/>
        <v>50.5</v>
      </c>
      <c r="L19" s="12">
        <f t="shared" si="5"/>
        <v>15150</v>
      </c>
      <c r="M19" s="13" t="s">
        <v>18</v>
      </c>
      <c r="N19" s="14"/>
      <c r="O19" s="15">
        <f t="shared" si="1"/>
        <v>123.5</v>
      </c>
      <c r="P19" s="1">
        <f t="shared" si="2"/>
        <v>15150</v>
      </c>
      <c r="Q19">
        <f t="shared" si="3"/>
        <v>0</v>
      </c>
    </row>
    <row r="20" spans="2:17" x14ac:dyDescent="0.35">
      <c r="B20" s="6">
        <v>18</v>
      </c>
      <c r="C20" s="16">
        <v>4100260103</v>
      </c>
      <c r="D20" s="8">
        <v>6606391</v>
      </c>
      <c r="E20" t="s">
        <v>34</v>
      </c>
      <c r="F20" s="9" t="s">
        <v>17</v>
      </c>
      <c r="G20" s="7">
        <v>300</v>
      </c>
      <c r="H20" s="10">
        <v>130</v>
      </c>
      <c r="I20" s="11">
        <v>198</v>
      </c>
      <c r="J20" s="11">
        <f t="shared" si="0"/>
        <v>149.5</v>
      </c>
      <c r="K20" s="12">
        <f t="shared" si="4"/>
        <v>68</v>
      </c>
      <c r="L20" s="12">
        <f t="shared" si="5"/>
        <v>20400</v>
      </c>
      <c r="M20" s="13" t="s">
        <v>18</v>
      </c>
      <c r="N20" s="14"/>
      <c r="O20" s="15">
        <f t="shared" si="1"/>
        <v>130</v>
      </c>
      <c r="P20" s="1">
        <f t="shared" si="2"/>
        <v>20400</v>
      </c>
      <c r="Q20">
        <f t="shared" si="3"/>
        <v>0</v>
      </c>
    </row>
    <row r="21" spans="2:17" x14ac:dyDescent="0.35">
      <c r="B21" s="6">
        <v>19</v>
      </c>
      <c r="C21" s="16">
        <v>4100261597</v>
      </c>
      <c r="D21">
        <v>6617744</v>
      </c>
      <c r="E21" t="s">
        <v>35</v>
      </c>
      <c r="F21" s="9" t="s">
        <v>17</v>
      </c>
      <c r="G21" s="7">
        <v>50</v>
      </c>
      <c r="H21" s="10">
        <v>396.5</v>
      </c>
      <c r="I21" s="11">
        <v>555</v>
      </c>
      <c r="J21" s="11">
        <f t="shared" si="0"/>
        <v>455.97499999999997</v>
      </c>
      <c r="K21" s="12">
        <f t="shared" si="4"/>
        <v>158.5</v>
      </c>
      <c r="L21" s="12">
        <f t="shared" si="5"/>
        <v>7925</v>
      </c>
      <c r="M21" s="13" t="s">
        <v>18</v>
      </c>
      <c r="N21" s="14"/>
      <c r="O21" s="15">
        <f t="shared" si="1"/>
        <v>396.5</v>
      </c>
      <c r="P21" s="1">
        <f t="shared" si="2"/>
        <v>7925</v>
      </c>
      <c r="Q21">
        <f t="shared" si="3"/>
        <v>0</v>
      </c>
    </row>
    <row r="22" spans="2:17" x14ac:dyDescent="0.35">
      <c r="B22" s="6">
        <v>20</v>
      </c>
      <c r="C22" s="16">
        <v>4100260184</v>
      </c>
      <c r="D22" s="8">
        <v>6602238</v>
      </c>
      <c r="E22" t="s">
        <v>36</v>
      </c>
      <c r="F22" s="9" t="s">
        <v>17</v>
      </c>
      <c r="G22" s="7">
        <v>100</v>
      </c>
      <c r="H22" s="10">
        <v>46.8</v>
      </c>
      <c r="I22" s="11">
        <v>60</v>
      </c>
      <c r="J22" s="11">
        <f t="shared" si="0"/>
        <v>53.819999999999993</v>
      </c>
      <c r="K22" s="12">
        <f t="shared" si="4"/>
        <v>13.200000000000003</v>
      </c>
      <c r="L22" s="12">
        <f t="shared" si="5"/>
        <v>1320.0000000000002</v>
      </c>
      <c r="M22" s="13" t="s">
        <v>37</v>
      </c>
      <c r="N22" s="14"/>
      <c r="O22" s="15">
        <f t="shared" si="1"/>
        <v>46.8</v>
      </c>
      <c r="P22" s="1">
        <f t="shared" si="2"/>
        <v>1320.0000000000002</v>
      </c>
      <c r="Q22">
        <f t="shared" si="3"/>
        <v>0</v>
      </c>
    </row>
    <row r="23" spans="2:17" x14ac:dyDescent="0.35">
      <c r="B23" s="6">
        <v>21</v>
      </c>
      <c r="C23" s="16">
        <v>4100264960</v>
      </c>
      <c r="D23" s="8">
        <v>6602332</v>
      </c>
      <c r="E23" t="s">
        <v>38</v>
      </c>
      <c r="F23" s="9" t="s">
        <v>17</v>
      </c>
      <c r="G23" s="7">
        <v>50</v>
      </c>
      <c r="H23" s="10">
        <v>143</v>
      </c>
      <c r="I23" s="11">
        <v>249</v>
      </c>
      <c r="J23" s="11">
        <f t="shared" si="0"/>
        <v>164.45</v>
      </c>
      <c r="K23" s="12">
        <f t="shared" si="4"/>
        <v>106</v>
      </c>
      <c r="L23" s="12">
        <f t="shared" si="5"/>
        <v>5300</v>
      </c>
      <c r="M23" s="13" t="s">
        <v>37</v>
      </c>
      <c r="N23" s="14"/>
      <c r="O23" s="15">
        <f t="shared" si="1"/>
        <v>143</v>
      </c>
      <c r="P23" s="1">
        <f t="shared" si="2"/>
        <v>5300</v>
      </c>
      <c r="Q23">
        <f t="shared" si="3"/>
        <v>0</v>
      </c>
    </row>
    <row r="24" spans="2:17" x14ac:dyDescent="0.35">
      <c r="B24" s="6">
        <v>22</v>
      </c>
      <c r="C24" s="16">
        <v>4100264960</v>
      </c>
      <c r="D24" s="8">
        <v>6602334</v>
      </c>
      <c r="E24" t="s">
        <v>39</v>
      </c>
      <c r="F24" s="9" t="s">
        <v>17</v>
      </c>
      <c r="G24" s="7">
        <v>50</v>
      </c>
      <c r="H24" s="10">
        <v>149.5</v>
      </c>
      <c r="I24" s="11">
        <v>279</v>
      </c>
      <c r="J24" s="11">
        <f t="shared" si="0"/>
        <v>171.92499999999998</v>
      </c>
      <c r="K24" s="12">
        <f t="shared" si="4"/>
        <v>129.5</v>
      </c>
      <c r="L24" s="12">
        <f t="shared" si="5"/>
        <v>6475</v>
      </c>
      <c r="M24" s="13" t="s">
        <v>37</v>
      </c>
      <c r="N24" s="14"/>
      <c r="O24" s="15">
        <f t="shared" si="1"/>
        <v>149.5</v>
      </c>
      <c r="P24" s="1">
        <f t="shared" si="2"/>
        <v>6475</v>
      </c>
      <c r="Q24">
        <f t="shared" si="3"/>
        <v>0</v>
      </c>
    </row>
    <row r="25" spans="2:17" x14ac:dyDescent="0.35">
      <c r="B25" s="6">
        <v>23</v>
      </c>
      <c r="C25" s="16">
        <v>4100264960</v>
      </c>
      <c r="D25" s="8">
        <v>6602338</v>
      </c>
      <c r="E25" t="s">
        <v>40</v>
      </c>
      <c r="F25" s="9" t="s">
        <v>17</v>
      </c>
      <c r="G25" s="7">
        <v>50</v>
      </c>
      <c r="H25" s="10">
        <v>162.5</v>
      </c>
      <c r="I25" s="11">
        <v>294</v>
      </c>
      <c r="J25" s="11">
        <f t="shared" si="0"/>
        <v>186.87499999999997</v>
      </c>
      <c r="K25" s="12">
        <f t="shared" si="4"/>
        <v>131.5</v>
      </c>
      <c r="L25" s="12">
        <f t="shared" si="5"/>
        <v>6575</v>
      </c>
      <c r="M25" s="13" t="s">
        <v>37</v>
      </c>
      <c r="N25" s="14"/>
      <c r="O25" s="15">
        <f t="shared" si="1"/>
        <v>162.5</v>
      </c>
      <c r="P25" s="1">
        <f t="shared" si="2"/>
        <v>6575</v>
      </c>
      <c r="Q25">
        <f t="shared" si="3"/>
        <v>0</v>
      </c>
    </row>
    <row r="26" spans="2:17" x14ac:dyDescent="0.35">
      <c r="B26" s="6">
        <v>24</v>
      </c>
      <c r="C26" s="16">
        <v>4100264960</v>
      </c>
      <c r="D26" s="8">
        <v>6602339</v>
      </c>
      <c r="E26" t="s">
        <v>41</v>
      </c>
      <c r="F26" s="9" t="s">
        <v>17</v>
      </c>
      <c r="G26" s="7">
        <v>70</v>
      </c>
      <c r="H26" s="10">
        <v>162.5</v>
      </c>
      <c r="I26" s="11">
        <v>297</v>
      </c>
      <c r="J26" s="11">
        <f t="shared" si="0"/>
        <v>186.87499999999997</v>
      </c>
      <c r="K26" s="12">
        <f t="shared" si="4"/>
        <v>134.5</v>
      </c>
      <c r="L26" s="12">
        <f t="shared" si="5"/>
        <v>9415</v>
      </c>
      <c r="M26" s="13" t="s">
        <v>37</v>
      </c>
      <c r="N26" s="14"/>
      <c r="O26" s="15">
        <f t="shared" si="1"/>
        <v>162.5</v>
      </c>
      <c r="P26" s="1">
        <f t="shared" si="2"/>
        <v>9415</v>
      </c>
      <c r="Q26">
        <f t="shared" si="3"/>
        <v>0</v>
      </c>
    </row>
    <row r="27" spans="2:17" x14ac:dyDescent="0.35">
      <c r="B27" s="6">
        <v>25</v>
      </c>
      <c r="C27" s="16">
        <v>4100260184</v>
      </c>
      <c r="D27" s="8">
        <v>6602930</v>
      </c>
      <c r="E27" t="s">
        <v>42</v>
      </c>
      <c r="F27" s="9" t="s">
        <v>17</v>
      </c>
      <c r="G27" s="7">
        <v>50</v>
      </c>
      <c r="H27" s="10">
        <v>65</v>
      </c>
      <c r="I27" s="11">
        <v>66</v>
      </c>
      <c r="J27" s="11">
        <f t="shared" si="0"/>
        <v>74.75</v>
      </c>
      <c r="K27" s="12">
        <f t="shared" si="4"/>
        <v>1</v>
      </c>
      <c r="L27" s="12">
        <f t="shared" si="5"/>
        <v>50</v>
      </c>
      <c r="M27" s="13" t="s">
        <v>37</v>
      </c>
      <c r="N27" s="14"/>
      <c r="O27" s="15">
        <f t="shared" si="1"/>
        <v>65</v>
      </c>
      <c r="P27" s="1">
        <f t="shared" si="2"/>
        <v>50</v>
      </c>
      <c r="Q27">
        <f t="shared" si="3"/>
        <v>0</v>
      </c>
    </row>
    <row r="28" spans="2:17" x14ac:dyDescent="0.35">
      <c r="B28" s="6">
        <v>26</v>
      </c>
      <c r="C28" s="16">
        <v>4100264960</v>
      </c>
      <c r="D28" s="8">
        <v>6602933</v>
      </c>
      <c r="E28" t="s">
        <v>16</v>
      </c>
      <c r="F28" s="9" t="s">
        <v>17</v>
      </c>
      <c r="G28" s="7">
        <v>50</v>
      </c>
      <c r="H28" s="10">
        <v>97.5</v>
      </c>
      <c r="I28" s="11">
        <v>105</v>
      </c>
      <c r="J28" s="11">
        <f t="shared" si="0"/>
        <v>112.12499999999999</v>
      </c>
      <c r="K28" s="12">
        <f t="shared" si="4"/>
        <v>7.5</v>
      </c>
      <c r="L28" s="12">
        <f t="shared" si="5"/>
        <v>375</v>
      </c>
      <c r="M28" s="13" t="s">
        <v>37</v>
      </c>
      <c r="N28" s="14"/>
      <c r="O28" s="15">
        <f t="shared" si="1"/>
        <v>97.5</v>
      </c>
      <c r="P28" s="1">
        <f t="shared" si="2"/>
        <v>375</v>
      </c>
      <c r="Q28">
        <f t="shared" si="3"/>
        <v>0</v>
      </c>
    </row>
    <row r="29" spans="2:17" x14ac:dyDescent="0.35">
      <c r="B29" s="6">
        <v>27</v>
      </c>
      <c r="C29" s="16">
        <v>4100263431</v>
      </c>
      <c r="D29" s="8">
        <v>6602949</v>
      </c>
      <c r="E29" t="s">
        <v>43</v>
      </c>
      <c r="F29" s="9" t="s">
        <v>17</v>
      </c>
      <c r="G29" s="7">
        <v>60</v>
      </c>
      <c r="H29" s="10">
        <v>78</v>
      </c>
      <c r="I29" s="11">
        <v>99</v>
      </c>
      <c r="J29" s="11">
        <f t="shared" si="0"/>
        <v>89.699999999999989</v>
      </c>
      <c r="K29" s="12">
        <f t="shared" si="4"/>
        <v>21</v>
      </c>
      <c r="L29" s="12">
        <f t="shared" si="5"/>
        <v>1260</v>
      </c>
      <c r="M29" s="13" t="s">
        <v>37</v>
      </c>
      <c r="N29" s="14"/>
      <c r="O29" s="15">
        <f t="shared" si="1"/>
        <v>78</v>
      </c>
      <c r="P29" s="1">
        <f t="shared" si="2"/>
        <v>1260</v>
      </c>
      <c r="Q29">
        <f t="shared" si="3"/>
        <v>0</v>
      </c>
    </row>
    <row r="30" spans="2:17" x14ac:dyDescent="0.35">
      <c r="B30" s="6">
        <v>28</v>
      </c>
      <c r="C30" s="16">
        <v>4100264878</v>
      </c>
      <c r="D30" s="8">
        <v>6602949</v>
      </c>
      <c r="E30" t="s">
        <v>43</v>
      </c>
      <c r="F30" s="9" t="s">
        <v>17</v>
      </c>
      <c r="G30" s="7">
        <v>60</v>
      </c>
      <c r="H30" s="10">
        <v>78</v>
      </c>
      <c r="I30" s="11">
        <v>99</v>
      </c>
      <c r="J30" s="11">
        <f t="shared" si="0"/>
        <v>89.699999999999989</v>
      </c>
      <c r="K30" s="12">
        <f t="shared" si="4"/>
        <v>21</v>
      </c>
      <c r="L30" s="12">
        <f t="shared" si="5"/>
        <v>1260</v>
      </c>
      <c r="M30" s="13" t="s">
        <v>37</v>
      </c>
      <c r="N30" s="14"/>
      <c r="O30" s="15">
        <f t="shared" si="1"/>
        <v>78</v>
      </c>
      <c r="P30" s="1">
        <f t="shared" si="2"/>
        <v>1260</v>
      </c>
      <c r="Q30">
        <f t="shared" si="3"/>
        <v>0</v>
      </c>
    </row>
    <row r="31" spans="2:17" x14ac:dyDescent="0.35">
      <c r="B31" s="6">
        <v>29</v>
      </c>
      <c r="C31" s="16">
        <v>4100264960</v>
      </c>
      <c r="D31" s="8">
        <v>6602953</v>
      </c>
      <c r="E31" t="s">
        <v>44</v>
      </c>
      <c r="F31" s="9" t="s">
        <v>17</v>
      </c>
      <c r="G31" s="7">
        <v>30</v>
      </c>
      <c r="H31" s="10">
        <v>578.5</v>
      </c>
      <c r="I31" s="11">
        <v>888</v>
      </c>
      <c r="J31" s="11">
        <f t="shared" si="0"/>
        <v>665.27499999999998</v>
      </c>
      <c r="K31" s="12">
        <f t="shared" si="4"/>
        <v>309.5</v>
      </c>
      <c r="L31" s="12">
        <f t="shared" si="5"/>
        <v>9285</v>
      </c>
      <c r="M31" s="13" t="s">
        <v>37</v>
      </c>
      <c r="N31" s="14"/>
      <c r="O31" s="15">
        <f t="shared" si="1"/>
        <v>578.5</v>
      </c>
      <c r="P31" s="1">
        <f t="shared" si="2"/>
        <v>9285</v>
      </c>
      <c r="Q31">
        <f t="shared" si="3"/>
        <v>0</v>
      </c>
    </row>
    <row r="32" spans="2:17" x14ac:dyDescent="0.35">
      <c r="B32" s="6">
        <v>30</v>
      </c>
      <c r="C32" s="16">
        <v>4100264960</v>
      </c>
      <c r="D32" s="8">
        <v>6603437</v>
      </c>
      <c r="E32" t="s">
        <v>45</v>
      </c>
      <c r="F32" s="9" t="s">
        <v>17</v>
      </c>
      <c r="G32" s="7">
        <v>20</v>
      </c>
      <c r="H32" s="10">
        <v>1170</v>
      </c>
      <c r="I32" s="11">
        <v>1512</v>
      </c>
      <c r="J32" s="11">
        <f t="shared" si="0"/>
        <v>1345.5</v>
      </c>
      <c r="K32" s="12">
        <f t="shared" si="4"/>
        <v>342</v>
      </c>
      <c r="L32" s="12">
        <f t="shared" si="5"/>
        <v>6840</v>
      </c>
      <c r="M32" s="13" t="s">
        <v>37</v>
      </c>
      <c r="N32" s="14"/>
      <c r="O32" s="15">
        <f t="shared" si="1"/>
        <v>1170</v>
      </c>
      <c r="P32" s="1">
        <f t="shared" si="2"/>
        <v>6840</v>
      </c>
      <c r="Q32">
        <f t="shared" si="3"/>
        <v>0</v>
      </c>
    </row>
    <row r="33" spans="2:17" x14ac:dyDescent="0.35">
      <c r="B33" s="6">
        <v>31</v>
      </c>
      <c r="C33" s="16">
        <v>4100260184</v>
      </c>
      <c r="D33" s="8">
        <v>6603438</v>
      </c>
      <c r="E33" t="s">
        <v>21</v>
      </c>
      <c r="F33" s="9" t="s">
        <v>17</v>
      </c>
      <c r="G33" s="7">
        <v>20</v>
      </c>
      <c r="H33" s="10">
        <v>975</v>
      </c>
      <c r="I33" s="11">
        <v>1239</v>
      </c>
      <c r="J33" s="11">
        <f t="shared" si="0"/>
        <v>1121.25</v>
      </c>
      <c r="K33" s="12">
        <f t="shared" si="4"/>
        <v>264</v>
      </c>
      <c r="L33" s="12">
        <f t="shared" si="5"/>
        <v>5280</v>
      </c>
      <c r="M33" s="13" t="s">
        <v>37</v>
      </c>
      <c r="N33" s="14"/>
      <c r="O33" s="15">
        <f t="shared" si="1"/>
        <v>975</v>
      </c>
      <c r="P33" s="1">
        <f t="shared" si="2"/>
        <v>5280</v>
      </c>
      <c r="Q33">
        <f t="shared" si="3"/>
        <v>0</v>
      </c>
    </row>
    <row r="34" spans="2:17" x14ac:dyDescent="0.35">
      <c r="B34" s="6">
        <v>32</v>
      </c>
      <c r="C34" s="16">
        <v>4100264960</v>
      </c>
      <c r="D34" s="8">
        <v>6603444</v>
      </c>
      <c r="E34" t="s">
        <v>46</v>
      </c>
      <c r="F34" s="9" t="s">
        <v>17</v>
      </c>
      <c r="G34" s="7">
        <v>20</v>
      </c>
      <c r="H34" s="10">
        <v>390</v>
      </c>
      <c r="I34" s="11">
        <v>603</v>
      </c>
      <c r="J34" s="11">
        <f t="shared" si="0"/>
        <v>448.49999999999994</v>
      </c>
      <c r="K34" s="12">
        <f t="shared" si="4"/>
        <v>213</v>
      </c>
      <c r="L34" s="12">
        <f t="shared" si="5"/>
        <v>4260</v>
      </c>
      <c r="M34" s="13" t="s">
        <v>37</v>
      </c>
      <c r="N34" s="14"/>
      <c r="O34" s="15">
        <f t="shared" si="1"/>
        <v>390</v>
      </c>
      <c r="P34" s="1">
        <f t="shared" si="2"/>
        <v>4260</v>
      </c>
      <c r="Q34">
        <f t="shared" si="3"/>
        <v>0</v>
      </c>
    </row>
    <row r="35" spans="2:17" x14ac:dyDescent="0.35">
      <c r="B35" s="6">
        <v>33</v>
      </c>
      <c r="C35" s="16">
        <v>4100264960</v>
      </c>
      <c r="D35" s="8">
        <v>6603445</v>
      </c>
      <c r="E35" t="s">
        <v>47</v>
      </c>
      <c r="F35" s="9" t="s">
        <v>17</v>
      </c>
      <c r="G35" s="7">
        <v>50</v>
      </c>
      <c r="H35" s="10">
        <v>338</v>
      </c>
      <c r="I35" s="11">
        <v>390</v>
      </c>
      <c r="J35" s="11">
        <f t="shared" si="0"/>
        <v>388.7</v>
      </c>
      <c r="K35" s="12">
        <f t="shared" si="4"/>
        <v>52</v>
      </c>
      <c r="L35" s="12">
        <f t="shared" si="5"/>
        <v>2600</v>
      </c>
      <c r="M35" s="13" t="s">
        <v>37</v>
      </c>
      <c r="N35" s="14"/>
      <c r="O35" s="15">
        <f t="shared" si="1"/>
        <v>338</v>
      </c>
      <c r="P35" s="1">
        <f t="shared" si="2"/>
        <v>2600</v>
      </c>
      <c r="Q35">
        <f t="shared" si="3"/>
        <v>0</v>
      </c>
    </row>
    <row r="36" spans="2:17" x14ac:dyDescent="0.35">
      <c r="B36" s="6">
        <v>34</v>
      </c>
      <c r="C36" s="16">
        <v>4100260184</v>
      </c>
      <c r="D36" s="8">
        <v>6603450</v>
      </c>
      <c r="E36" t="s">
        <v>23</v>
      </c>
      <c r="F36" s="9" t="s">
        <v>17</v>
      </c>
      <c r="G36" s="7">
        <v>40</v>
      </c>
      <c r="H36" s="10">
        <v>422.5</v>
      </c>
      <c r="I36" s="11">
        <v>531</v>
      </c>
      <c r="J36" s="11">
        <f t="shared" si="0"/>
        <v>485.87499999999994</v>
      </c>
      <c r="K36" s="12">
        <f t="shared" si="4"/>
        <v>108.5</v>
      </c>
      <c r="L36" s="12">
        <f t="shared" si="5"/>
        <v>4340</v>
      </c>
      <c r="M36" s="13" t="s">
        <v>37</v>
      </c>
      <c r="N36" s="14"/>
      <c r="O36" s="15">
        <f t="shared" si="1"/>
        <v>422.5</v>
      </c>
      <c r="P36" s="1">
        <f t="shared" si="2"/>
        <v>4340</v>
      </c>
      <c r="Q36">
        <f t="shared" si="3"/>
        <v>0</v>
      </c>
    </row>
    <row r="37" spans="2:17" x14ac:dyDescent="0.35">
      <c r="B37" s="6">
        <v>35</v>
      </c>
      <c r="C37" s="16">
        <v>4100249764</v>
      </c>
      <c r="D37" s="8">
        <v>6603486</v>
      </c>
      <c r="E37" t="s">
        <v>48</v>
      </c>
      <c r="F37" s="9" t="s">
        <v>17</v>
      </c>
      <c r="G37" s="7">
        <v>50</v>
      </c>
      <c r="H37" s="10">
        <v>3055</v>
      </c>
      <c r="I37" s="11">
        <v>3846</v>
      </c>
      <c r="J37" s="11">
        <f t="shared" si="0"/>
        <v>3513.2499999999995</v>
      </c>
      <c r="K37" s="12">
        <f t="shared" si="4"/>
        <v>791</v>
      </c>
      <c r="L37" s="12">
        <f t="shared" si="5"/>
        <v>39550</v>
      </c>
      <c r="M37" s="13" t="s">
        <v>37</v>
      </c>
      <c r="N37" s="14"/>
      <c r="O37" s="15">
        <f t="shared" si="1"/>
        <v>3055</v>
      </c>
      <c r="P37" s="1">
        <f t="shared" si="2"/>
        <v>39550</v>
      </c>
      <c r="Q37">
        <f t="shared" si="3"/>
        <v>0</v>
      </c>
    </row>
    <row r="38" spans="2:17" x14ac:dyDescent="0.35">
      <c r="B38" s="6">
        <v>36</v>
      </c>
      <c r="C38" s="16">
        <v>4100260414</v>
      </c>
      <c r="D38" s="8">
        <v>6603996</v>
      </c>
      <c r="E38" t="s">
        <v>49</v>
      </c>
      <c r="F38" s="9" t="s">
        <v>17</v>
      </c>
      <c r="G38" s="7">
        <v>50</v>
      </c>
      <c r="H38" s="10">
        <v>591.5</v>
      </c>
      <c r="I38" s="11">
        <v>861</v>
      </c>
      <c r="J38" s="11">
        <f t="shared" si="0"/>
        <v>680.22499999999991</v>
      </c>
      <c r="K38" s="12">
        <f t="shared" si="4"/>
        <v>269.5</v>
      </c>
      <c r="L38" s="12">
        <f t="shared" si="5"/>
        <v>13475</v>
      </c>
      <c r="M38" s="13" t="s">
        <v>37</v>
      </c>
      <c r="N38" s="14"/>
      <c r="O38" s="15">
        <f t="shared" si="1"/>
        <v>591.5</v>
      </c>
      <c r="P38" s="1">
        <f t="shared" si="2"/>
        <v>13475</v>
      </c>
      <c r="Q38">
        <f t="shared" si="3"/>
        <v>0</v>
      </c>
    </row>
    <row r="39" spans="2:17" x14ac:dyDescent="0.35">
      <c r="B39" s="6">
        <v>37</v>
      </c>
      <c r="C39" s="16">
        <v>4100260414</v>
      </c>
      <c r="D39" s="8">
        <v>6603997</v>
      </c>
      <c r="E39" t="s">
        <v>50</v>
      </c>
      <c r="F39" s="9" t="s">
        <v>17</v>
      </c>
      <c r="G39" s="7">
        <v>100</v>
      </c>
      <c r="H39" s="10">
        <v>624</v>
      </c>
      <c r="I39" s="11">
        <v>933</v>
      </c>
      <c r="J39" s="11">
        <f t="shared" si="0"/>
        <v>717.59999999999991</v>
      </c>
      <c r="K39" s="12">
        <f t="shared" si="4"/>
        <v>309</v>
      </c>
      <c r="L39" s="12">
        <f t="shared" si="5"/>
        <v>30900</v>
      </c>
      <c r="M39" s="13" t="s">
        <v>37</v>
      </c>
      <c r="N39" s="14"/>
      <c r="O39" s="15">
        <f t="shared" si="1"/>
        <v>624</v>
      </c>
      <c r="P39" s="1">
        <f t="shared" si="2"/>
        <v>30900</v>
      </c>
      <c r="Q39">
        <f t="shared" si="3"/>
        <v>0</v>
      </c>
    </row>
    <row r="40" spans="2:17" x14ac:dyDescent="0.35">
      <c r="B40" s="6">
        <v>38</v>
      </c>
      <c r="C40" s="16">
        <v>4100264960</v>
      </c>
      <c r="D40" s="8">
        <v>6603998</v>
      </c>
      <c r="E40" t="s">
        <v>51</v>
      </c>
      <c r="F40" s="9" t="s">
        <v>17</v>
      </c>
      <c r="G40" s="7">
        <v>400</v>
      </c>
      <c r="H40" s="10">
        <v>331.5</v>
      </c>
      <c r="I40" s="11">
        <v>555</v>
      </c>
      <c r="J40" s="11">
        <f t="shared" si="0"/>
        <v>381.22499999999997</v>
      </c>
      <c r="K40" s="12">
        <f t="shared" si="4"/>
        <v>223.5</v>
      </c>
      <c r="L40" s="12">
        <f t="shared" si="5"/>
        <v>89400</v>
      </c>
      <c r="M40" s="13" t="s">
        <v>37</v>
      </c>
      <c r="N40" s="14"/>
      <c r="O40" s="15">
        <f t="shared" si="1"/>
        <v>331.5</v>
      </c>
      <c r="P40" s="1">
        <f t="shared" si="2"/>
        <v>89400</v>
      </c>
      <c r="Q40">
        <f t="shared" si="3"/>
        <v>0</v>
      </c>
    </row>
    <row r="41" spans="2:17" x14ac:dyDescent="0.35">
      <c r="B41" s="6">
        <v>39</v>
      </c>
      <c r="C41" s="16">
        <v>4100264960</v>
      </c>
      <c r="D41" s="8">
        <v>6604000</v>
      </c>
      <c r="E41" t="s">
        <v>52</v>
      </c>
      <c r="F41" s="9" t="s">
        <v>17</v>
      </c>
      <c r="G41" s="7">
        <v>300</v>
      </c>
      <c r="H41" s="10">
        <v>357.5</v>
      </c>
      <c r="I41" s="11">
        <v>630</v>
      </c>
      <c r="J41" s="11">
        <f t="shared" si="0"/>
        <v>411.12499999999994</v>
      </c>
      <c r="K41" s="12">
        <f t="shared" si="4"/>
        <v>272.5</v>
      </c>
      <c r="L41" s="12">
        <f t="shared" si="5"/>
        <v>81750</v>
      </c>
      <c r="M41" s="13" t="s">
        <v>37</v>
      </c>
      <c r="N41" s="14"/>
      <c r="O41" s="15">
        <f t="shared" si="1"/>
        <v>357.5</v>
      </c>
      <c r="P41" s="1">
        <f t="shared" si="2"/>
        <v>81750</v>
      </c>
      <c r="Q41">
        <f t="shared" si="3"/>
        <v>0</v>
      </c>
    </row>
    <row r="42" spans="2:17" x14ac:dyDescent="0.35">
      <c r="B42" s="6">
        <v>40</v>
      </c>
      <c r="C42" s="16">
        <v>4100260414</v>
      </c>
      <c r="D42" s="8">
        <v>6604001</v>
      </c>
      <c r="E42" t="s">
        <v>53</v>
      </c>
      <c r="F42" s="9" t="s">
        <v>17</v>
      </c>
      <c r="G42" s="7">
        <v>150</v>
      </c>
      <c r="H42" s="10">
        <v>487.5</v>
      </c>
      <c r="I42" s="11">
        <v>609</v>
      </c>
      <c r="J42" s="11">
        <f t="shared" si="0"/>
        <v>560.625</v>
      </c>
      <c r="K42" s="12">
        <f t="shared" si="4"/>
        <v>121.5</v>
      </c>
      <c r="L42" s="12">
        <f t="shared" si="5"/>
        <v>18225</v>
      </c>
      <c r="M42" s="13" t="s">
        <v>37</v>
      </c>
      <c r="N42" s="14"/>
      <c r="O42" s="15">
        <f t="shared" si="1"/>
        <v>487.5</v>
      </c>
      <c r="P42" s="1">
        <f t="shared" si="2"/>
        <v>18225</v>
      </c>
      <c r="Q42">
        <f t="shared" si="3"/>
        <v>0</v>
      </c>
    </row>
    <row r="43" spans="2:17" x14ac:dyDescent="0.35">
      <c r="B43" s="6">
        <v>41</v>
      </c>
      <c r="C43" s="16">
        <v>4100264960</v>
      </c>
      <c r="D43" s="8">
        <v>6604003</v>
      </c>
      <c r="E43" t="s">
        <v>54</v>
      </c>
      <c r="F43" s="9" t="s">
        <v>17</v>
      </c>
      <c r="G43" s="7">
        <v>200</v>
      </c>
      <c r="H43" s="10">
        <v>227.5</v>
      </c>
      <c r="I43" s="11">
        <v>573</v>
      </c>
      <c r="J43" s="11">
        <f t="shared" si="0"/>
        <v>261.625</v>
      </c>
      <c r="K43" s="12">
        <f t="shared" si="4"/>
        <v>345.5</v>
      </c>
      <c r="L43" s="12">
        <f t="shared" si="5"/>
        <v>69100</v>
      </c>
      <c r="M43" s="13" t="s">
        <v>37</v>
      </c>
      <c r="N43" s="14"/>
      <c r="O43" s="15">
        <f t="shared" si="1"/>
        <v>227.5</v>
      </c>
      <c r="P43" s="1">
        <f t="shared" si="2"/>
        <v>69100</v>
      </c>
      <c r="Q43">
        <f t="shared" si="3"/>
        <v>0</v>
      </c>
    </row>
    <row r="44" spans="2:17" x14ac:dyDescent="0.35">
      <c r="B44" s="6">
        <v>42</v>
      </c>
      <c r="C44" s="7">
        <v>4100249764</v>
      </c>
      <c r="D44" s="8">
        <v>6604004</v>
      </c>
      <c r="E44" t="s">
        <v>55</v>
      </c>
      <c r="F44" s="9" t="s">
        <v>17</v>
      </c>
      <c r="G44" s="7">
        <v>150</v>
      </c>
      <c r="H44" s="10">
        <v>487.5</v>
      </c>
      <c r="I44" s="11">
        <v>741</v>
      </c>
      <c r="J44" s="11">
        <f t="shared" si="0"/>
        <v>560.625</v>
      </c>
      <c r="K44" s="12">
        <f t="shared" si="4"/>
        <v>253.5</v>
      </c>
      <c r="L44" s="12">
        <f t="shared" si="5"/>
        <v>38025</v>
      </c>
      <c r="M44" s="13" t="s">
        <v>37</v>
      </c>
      <c r="N44" s="14"/>
      <c r="O44" s="15">
        <f t="shared" si="1"/>
        <v>487.5</v>
      </c>
      <c r="P44" s="1">
        <f t="shared" si="2"/>
        <v>38025</v>
      </c>
      <c r="Q44">
        <f t="shared" si="3"/>
        <v>0</v>
      </c>
    </row>
    <row r="45" spans="2:17" x14ac:dyDescent="0.35">
      <c r="B45" s="6">
        <v>43</v>
      </c>
      <c r="C45" s="7">
        <v>4100260414</v>
      </c>
      <c r="D45" s="8">
        <v>6604004</v>
      </c>
      <c r="E45" t="s">
        <v>55</v>
      </c>
      <c r="F45" s="9" t="s">
        <v>17</v>
      </c>
      <c r="G45" s="7">
        <v>100</v>
      </c>
      <c r="H45" s="10">
        <v>487.5</v>
      </c>
      <c r="I45" s="11">
        <v>741</v>
      </c>
      <c r="J45" s="11">
        <f t="shared" si="0"/>
        <v>560.625</v>
      </c>
      <c r="K45" s="12">
        <f t="shared" si="4"/>
        <v>253.5</v>
      </c>
      <c r="L45" s="12">
        <f t="shared" si="5"/>
        <v>25350</v>
      </c>
      <c r="M45" s="13" t="s">
        <v>37</v>
      </c>
      <c r="N45" s="14"/>
      <c r="O45" s="15">
        <f t="shared" si="1"/>
        <v>487.5</v>
      </c>
      <c r="P45" s="1">
        <f t="shared" si="2"/>
        <v>25350</v>
      </c>
      <c r="Q45">
        <f t="shared" si="3"/>
        <v>0</v>
      </c>
    </row>
    <row r="46" spans="2:17" x14ac:dyDescent="0.35">
      <c r="B46" s="6">
        <v>44</v>
      </c>
      <c r="C46" s="7">
        <v>4100264960</v>
      </c>
      <c r="D46" s="8">
        <v>6604004</v>
      </c>
      <c r="E46" t="s">
        <v>55</v>
      </c>
      <c r="F46" s="9" t="s">
        <v>17</v>
      </c>
      <c r="G46" s="7">
        <v>100</v>
      </c>
      <c r="H46" s="10">
        <v>487.5</v>
      </c>
      <c r="I46" s="11">
        <v>741</v>
      </c>
      <c r="J46" s="11">
        <f t="shared" si="0"/>
        <v>560.625</v>
      </c>
      <c r="K46" s="12">
        <f t="shared" si="4"/>
        <v>253.5</v>
      </c>
      <c r="L46" s="12">
        <f t="shared" si="5"/>
        <v>25350</v>
      </c>
      <c r="M46" s="13" t="s">
        <v>37</v>
      </c>
      <c r="N46" s="14"/>
      <c r="O46" s="15">
        <f t="shared" si="1"/>
        <v>487.5</v>
      </c>
      <c r="P46" s="1">
        <f t="shared" si="2"/>
        <v>25350</v>
      </c>
      <c r="Q46">
        <f t="shared" si="3"/>
        <v>0</v>
      </c>
    </row>
    <row r="47" spans="2:17" x14ac:dyDescent="0.35">
      <c r="B47" s="6">
        <v>45</v>
      </c>
      <c r="C47" s="7">
        <v>4100264878</v>
      </c>
      <c r="D47" s="8">
        <v>6604006</v>
      </c>
      <c r="E47" t="s">
        <v>56</v>
      </c>
      <c r="F47" s="9" t="s">
        <v>17</v>
      </c>
      <c r="G47" s="7">
        <v>200</v>
      </c>
      <c r="H47" s="10">
        <v>227.5</v>
      </c>
      <c r="I47" s="11">
        <v>612</v>
      </c>
      <c r="J47" s="11">
        <f t="shared" si="0"/>
        <v>261.625</v>
      </c>
      <c r="K47" s="12">
        <f t="shared" si="4"/>
        <v>384.5</v>
      </c>
      <c r="L47" s="12">
        <f t="shared" si="5"/>
        <v>76900</v>
      </c>
      <c r="M47" s="13" t="s">
        <v>37</v>
      </c>
      <c r="N47" s="14"/>
      <c r="O47" s="15">
        <f t="shared" si="1"/>
        <v>227.5</v>
      </c>
      <c r="P47" s="1">
        <f t="shared" si="2"/>
        <v>76900</v>
      </c>
      <c r="Q47">
        <f t="shared" si="3"/>
        <v>0</v>
      </c>
    </row>
    <row r="48" spans="2:17" x14ac:dyDescent="0.35">
      <c r="B48" s="6">
        <v>46</v>
      </c>
      <c r="C48" s="16">
        <v>4100264960</v>
      </c>
      <c r="D48" s="8">
        <v>6604006</v>
      </c>
      <c r="E48" t="s">
        <v>56</v>
      </c>
      <c r="F48" s="9" t="s">
        <v>17</v>
      </c>
      <c r="G48" s="7">
        <v>300</v>
      </c>
      <c r="H48" s="10">
        <v>227.5</v>
      </c>
      <c r="I48" s="11">
        <v>612</v>
      </c>
      <c r="J48" s="11">
        <f t="shared" si="0"/>
        <v>261.625</v>
      </c>
      <c r="K48" s="12">
        <f t="shared" si="4"/>
        <v>384.5</v>
      </c>
      <c r="L48" s="12">
        <f t="shared" si="5"/>
        <v>115350</v>
      </c>
      <c r="M48" s="13" t="s">
        <v>37</v>
      </c>
      <c r="N48" s="14"/>
      <c r="O48" s="15">
        <f t="shared" si="1"/>
        <v>227.5</v>
      </c>
      <c r="P48" s="1">
        <f t="shared" si="2"/>
        <v>115350</v>
      </c>
      <c r="Q48">
        <f t="shared" si="3"/>
        <v>0</v>
      </c>
    </row>
    <row r="49" spans="2:17" x14ac:dyDescent="0.35">
      <c r="B49" s="6">
        <v>47</v>
      </c>
      <c r="C49" s="7">
        <v>4100260414</v>
      </c>
      <c r="D49" s="8">
        <v>6604007</v>
      </c>
      <c r="E49" t="s">
        <v>57</v>
      </c>
      <c r="F49" s="9" t="s">
        <v>17</v>
      </c>
      <c r="G49" s="7">
        <v>50</v>
      </c>
      <c r="H49" s="10">
        <v>494</v>
      </c>
      <c r="I49" s="11">
        <v>798</v>
      </c>
      <c r="J49" s="11">
        <f t="shared" si="0"/>
        <v>568.09999999999991</v>
      </c>
      <c r="K49" s="12">
        <f t="shared" si="4"/>
        <v>304</v>
      </c>
      <c r="L49" s="12">
        <f t="shared" si="5"/>
        <v>15200</v>
      </c>
      <c r="M49" s="13" t="s">
        <v>37</v>
      </c>
      <c r="N49" s="14"/>
      <c r="O49" s="15">
        <f t="shared" si="1"/>
        <v>494</v>
      </c>
      <c r="P49" s="1">
        <f t="shared" si="2"/>
        <v>15200</v>
      </c>
      <c r="Q49">
        <f t="shared" si="3"/>
        <v>0</v>
      </c>
    </row>
    <row r="50" spans="2:17" x14ac:dyDescent="0.35">
      <c r="B50" s="6">
        <v>48</v>
      </c>
      <c r="C50" s="7">
        <v>4100264878</v>
      </c>
      <c r="D50" s="8">
        <v>6604009</v>
      </c>
      <c r="E50" t="s">
        <v>58</v>
      </c>
      <c r="F50" s="9" t="s">
        <v>17</v>
      </c>
      <c r="G50" s="7">
        <v>200</v>
      </c>
      <c r="H50" s="10">
        <v>351</v>
      </c>
      <c r="I50" s="11">
        <v>600</v>
      </c>
      <c r="J50" s="11">
        <f t="shared" si="0"/>
        <v>403.65</v>
      </c>
      <c r="K50" s="12">
        <f t="shared" si="4"/>
        <v>249</v>
      </c>
      <c r="L50" s="12">
        <f t="shared" si="5"/>
        <v>49800</v>
      </c>
      <c r="M50" s="13" t="s">
        <v>37</v>
      </c>
      <c r="N50" s="14"/>
      <c r="O50" s="15">
        <f t="shared" si="1"/>
        <v>351</v>
      </c>
      <c r="P50" s="1">
        <f t="shared" si="2"/>
        <v>49800</v>
      </c>
      <c r="Q50">
        <f t="shared" si="3"/>
        <v>0</v>
      </c>
    </row>
    <row r="51" spans="2:17" x14ac:dyDescent="0.35">
      <c r="B51" s="6">
        <v>49</v>
      </c>
      <c r="C51" s="7">
        <v>4100264960</v>
      </c>
      <c r="D51" s="8">
        <v>6604009</v>
      </c>
      <c r="E51" t="s">
        <v>58</v>
      </c>
      <c r="F51" s="9" t="s">
        <v>17</v>
      </c>
      <c r="G51" s="7">
        <v>200</v>
      </c>
      <c r="H51" s="10">
        <v>351</v>
      </c>
      <c r="I51" s="11">
        <v>600</v>
      </c>
      <c r="J51" s="11">
        <f t="shared" si="0"/>
        <v>403.65</v>
      </c>
      <c r="K51" s="12">
        <f t="shared" si="4"/>
        <v>249</v>
      </c>
      <c r="L51" s="12">
        <f t="shared" si="5"/>
        <v>49800</v>
      </c>
      <c r="M51" s="13" t="s">
        <v>37</v>
      </c>
      <c r="N51" s="14"/>
      <c r="O51" s="15">
        <f t="shared" si="1"/>
        <v>351</v>
      </c>
      <c r="P51" s="1">
        <f t="shared" si="2"/>
        <v>49800</v>
      </c>
      <c r="Q51">
        <f t="shared" si="3"/>
        <v>0</v>
      </c>
    </row>
    <row r="52" spans="2:17" x14ac:dyDescent="0.35">
      <c r="B52" s="6">
        <v>50</v>
      </c>
      <c r="C52" s="16">
        <v>4100260184</v>
      </c>
      <c r="D52" s="8">
        <v>6609646</v>
      </c>
      <c r="E52" t="s">
        <v>59</v>
      </c>
      <c r="F52" s="9" t="s">
        <v>17</v>
      </c>
      <c r="G52" s="7">
        <v>100</v>
      </c>
      <c r="H52" s="10">
        <v>50.7</v>
      </c>
      <c r="I52" s="11">
        <v>60</v>
      </c>
      <c r="J52" s="11">
        <f t="shared" si="0"/>
        <v>58.305</v>
      </c>
      <c r="K52" s="12">
        <f t="shared" si="4"/>
        <v>9.2999999999999972</v>
      </c>
      <c r="L52" s="12">
        <f t="shared" si="5"/>
        <v>929.99999999999977</v>
      </c>
      <c r="M52" s="13" t="s">
        <v>37</v>
      </c>
      <c r="N52" s="14"/>
      <c r="O52" s="15">
        <f t="shared" si="1"/>
        <v>50.7</v>
      </c>
      <c r="P52" s="1">
        <f t="shared" si="2"/>
        <v>929.99999999999977</v>
      </c>
      <c r="Q52">
        <f t="shared" si="3"/>
        <v>0</v>
      </c>
    </row>
    <row r="53" spans="2:17" x14ac:dyDescent="0.35">
      <c r="B53" s="6">
        <v>51</v>
      </c>
      <c r="C53" s="7">
        <v>4100264878</v>
      </c>
      <c r="D53" s="8">
        <v>6611366</v>
      </c>
      <c r="E53" t="s">
        <v>60</v>
      </c>
      <c r="F53" s="9" t="s">
        <v>17</v>
      </c>
      <c r="G53" s="7">
        <v>300</v>
      </c>
      <c r="H53" s="10">
        <v>104</v>
      </c>
      <c r="I53" s="11">
        <v>162</v>
      </c>
      <c r="J53" s="11">
        <f t="shared" si="0"/>
        <v>119.6</v>
      </c>
      <c r="K53" s="12">
        <f>I53-H53</f>
        <v>58</v>
      </c>
      <c r="L53" s="12">
        <f t="shared" si="5"/>
        <v>17400</v>
      </c>
      <c r="M53" s="13" t="s">
        <v>37</v>
      </c>
      <c r="N53" s="16"/>
      <c r="O53" s="15">
        <f t="shared" si="1"/>
        <v>104</v>
      </c>
      <c r="P53" s="1">
        <f t="shared" si="2"/>
        <v>17400</v>
      </c>
      <c r="Q53">
        <f t="shared" si="3"/>
        <v>0</v>
      </c>
    </row>
    <row r="54" spans="2:17" x14ac:dyDescent="0.35">
      <c r="B54" s="6">
        <v>52</v>
      </c>
      <c r="C54" s="7">
        <v>4100263431</v>
      </c>
      <c r="D54" s="8">
        <v>6602948</v>
      </c>
      <c r="E54" t="s">
        <v>61</v>
      </c>
      <c r="F54" s="9" t="s">
        <v>17</v>
      </c>
      <c r="G54" s="16">
        <v>100</v>
      </c>
      <c r="H54" s="10">
        <v>61.75</v>
      </c>
      <c r="I54" s="11">
        <v>87</v>
      </c>
      <c r="J54" s="11">
        <f t="shared" si="0"/>
        <v>71.012499999999989</v>
      </c>
      <c r="K54" s="12">
        <f>I54-H54</f>
        <v>25.25</v>
      </c>
      <c r="L54" s="12">
        <f t="shared" si="5"/>
        <v>2525</v>
      </c>
      <c r="M54" s="13" t="s">
        <v>62</v>
      </c>
      <c r="N54" s="16"/>
      <c r="O54" s="15">
        <f t="shared" si="1"/>
        <v>61.75</v>
      </c>
      <c r="P54" s="1">
        <f t="shared" si="2"/>
        <v>2525</v>
      </c>
      <c r="Q54">
        <f t="shared" si="3"/>
        <v>0</v>
      </c>
    </row>
    <row r="55" spans="2:17" x14ac:dyDescent="0.35">
      <c r="B55" s="6">
        <v>53</v>
      </c>
      <c r="C55" s="7">
        <v>4100263431</v>
      </c>
      <c r="D55" s="8">
        <v>6602949</v>
      </c>
      <c r="E55" t="s">
        <v>43</v>
      </c>
      <c r="F55" s="9" t="s">
        <v>17</v>
      </c>
      <c r="G55" s="16">
        <v>100</v>
      </c>
      <c r="H55" s="10">
        <v>78</v>
      </c>
      <c r="I55" s="11">
        <v>99</v>
      </c>
      <c r="J55" s="11">
        <f t="shared" si="0"/>
        <v>89.699999999999989</v>
      </c>
      <c r="K55" s="12">
        <f>I55-H55</f>
        <v>21</v>
      </c>
      <c r="L55" s="12">
        <f t="shared" si="5"/>
        <v>2100</v>
      </c>
      <c r="M55" s="13" t="s">
        <v>62</v>
      </c>
      <c r="N55" s="16"/>
      <c r="O55" s="15">
        <f t="shared" si="1"/>
        <v>78</v>
      </c>
      <c r="P55" s="1">
        <f t="shared" si="2"/>
        <v>2100</v>
      </c>
      <c r="Q55">
        <f t="shared" si="3"/>
        <v>0</v>
      </c>
    </row>
    <row r="56" spans="2:17" x14ac:dyDescent="0.35">
      <c r="B56" s="6">
        <v>54</v>
      </c>
      <c r="C56" s="7">
        <v>4100253402</v>
      </c>
      <c r="D56" s="8">
        <v>6602240</v>
      </c>
      <c r="E56" t="s">
        <v>63</v>
      </c>
      <c r="F56" s="9" t="s">
        <v>17</v>
      </c>
      <c r="G56" s="16">
        <v>100</v>
      </c>
      <c r="H56" s="10">
        <v>50.7</v>
      </c>
      <c r="I56" s="11">
        <v>60</v>
      </c>
      <c r="J56" s="11">
        <f t="shared" si="0"/>
        <v>58.305</v>
      </c>
      <c r="K56" s="12">
        <f>I56-H56</f>
        <v>9.2999999999999972</v>
      </c>
      <c r="L56" s="12">
        <f t="shared" si="5"/>
        <v>929.99999999999977</v>
      </c>
      <c r="M56" s="16" t="s">
        <v>64</v>
      </c>
      <c r="N56" s="16"/>
      <c r="O56" s="15">
        <f t="shared" si="1"/>
        <v>50.7</v>
      </c>
      <c r="P56" s="1">
        <f t="shared" si="2"/>
        <v>929.99999999999977</v>
      </c>
      <c r="Q56">
        <f t="shared" si="3"/>
        <v>0</v>
      </c>
    </row>
    <row r="57" spans="2:17" x14ac:dyDescent="0.35">
      <c r="B57" s="6">
        <v>55</v>
      </c>
      <c r="C57" s="7">
        <v>4100247944</v>
      </c>
      <c r="D57" s="8">
        <v>6602334</v>
      </c>
      <c r="E57" t="s">
        <v>39</v>
      </c>
      <c r="F57" s="9" t="s">
        <v>17</v>
      </c>
      <c r="G57" s="16">
        <v>100</v>
      </c>
      <c r="H57" s="10">
        <v>149.5</v>
      </c>
      <c r="I57" s="11">
        <v>279</v>
      </c>
      <c r="J57" s="11">
        <f t="shared" si="0"/>
        <v>171.92499999999998</v>
      </c>
      <c r="K57" s="12">
        <f t="shared" si="4"/>
        <v>129.5</v>
      </c>
      <c r="L57" s="12">
        <f t="shared" si="5"/>
        <v>12950</v>
      </c>
      <c r="M57" s="16" t="s">
        <v>64</v>
      </c>
      <c r="N57" s="16"/>
      <c r="O57" s="15">
        <f t="shared" si="1"/>
        <v>149.5</v>
      </c>
      <c r="P57" s="1">
        <f t="shared" si="2"/>
        <v>12950</v>
      </c>
      <c r="Q57">
        <f t="shared" si="3"/>
        <v>0</v>
      </c>
    </row>
    <row r="58" spans="2:17" x14ac:dyDescent="0.35">
      <c r="C58" s="7">
        <v>4100263794</v>
      </c>
      <c r="D58" s="8">
        <v>6602950</v>
      </c>
      <c r="E58" t="s">
        <v>65</v>
      </c>
      <c r="F58" s="9" t="s">
        <v>17</v>
      </c>
      <c r="G58" s="16">
        <v>100</v>
      </c>
      <c r="H58">
        <f>I58*85%</f>
        <v>94.35</v>
      </c>
      <c r="I58">
        <v>111</v>
      </c>
      <c r="J58">
        <v>89.3</v>
      </c>
      <c r="K58" s="17">
        <f>I58-J58</f>
        <v>21.700000000000003</v>
      </c>
      <c r="L58" s="17">
        <f t="shared" si="5"/>
        <v>2170.0000000000005</v>
      </c>
      <c r="M58" t="s">
        <v>62</v>
      </c>
      <c r="O58" s="15">
        <f>J58</f>
        <v>89.3</v>
      </c>
      <c r="P58" s="1">
        <f t="shared" si="2"/>
        <v>2170.0000000000005</v>
      </c>
      <c r="Q58">
        <f t="shared" si="3"/>
        <v>0</v>
      </c>
    </row>
    <row r="59" spans="2:17" x14ac:dyDescent="0.35">
      <c r="C59" s="7">
        <v>4100249457</v>
      </c>
      <c r="D59" s="8">
        <v>6602953</v>
      </c>
      <c r="E59" t="s">
        <v>44</v>
      </c>
      <c r="F59" s="9" t="s">
        <v>17</v>
      </c>
      <c r="G59" s="16">
        <v>100</v>
      </c>
      <c r="H59">
        <f t="shared" ref="H59:H84" si="6">I59*85%</f>
        <v>754.8</v>
      </c>
      <c r="I59">
        <v>888</v>
      </c>
      <c r="J59">
        <v>605.36</v>
      </c>
      <c r="K59" s="17">
        <f>I59-J59</f>
        <v>282.64</v>
      </c>
      <c r="L59" s="17">
        <f t="shared" si="5"/>
        <v>28264</v>
      </c>
      <c r="M59" t="s">
        <v>62</v>
      </c>
      <c r="O59" s="15">
        <f t="shared" ref="O59:O84" si="7">J59</f>
        <v>605.36</v>
      </c>
      <c r="P59" s="1">
        <f t="shared" si="2"/>
        <v>28264</v>
      </c>
      <c r="Q59">
        <f t="shared" si="3"/>
        <v>0</v>
      </c>
    </row>
    <row r="60" spans="2:17" x14ac:dyDescent="0.35">
      <c r="C60" s="7">
        <v>4100263137</v>
      </c>
      <c r="D60" s="8">
        <v>6603440</v>
      </c>
      <c r="E60" t="s">
        <v>66</v>
      </c>
      <c r="F60" s="9" t="s">
        <v>17</v>
      </c>
      <c r="G60" s="16">
        <v>100</v>
      </c>
      <c r="H60">
        <f t="shared" si="6"/>
        <v>754.8</v>
      </c>
      <c r="I60">
        <v>888</v>
      </c>
      <c r="J60">
        <v>605.36</v>
      </c>
      <c r="K60" s="17">
        <f t="shared" ref="K60:K84" si="8">I60-J60</f>
        <v>282.64</v>
      </c>
      <c r="L60" s="17">
        <f t="shared" si="5"/>
        <v>28264</v>
      </c>
      <c r="M60" t="s">
        <v>62</v>
      </c>
      <c r="O60" s="15">
        <f t="shared" si="7"/>
        <v>605.36</v>
      </c>
      <c r="P60" s="1">
        <f t="shared" si="2"/>
        <v>28264</v>
      </c>
      <c r="Q60">
        <f t="shared" si="3"/>
        <v>0</v>
      </c>
    </row>
    <row r="61" spans="2:17" x14ac:dyDescent="0.35">
      <c r="C61" s="7">
        <v>4100264126</v>
      </c>
      <c r="D61" s="8">
        <v>6601527</v>
      </c>
      <c r="E61" t="s">
        <v>67</v>
      </c>
      <c r="F61" s="9" t="s">
        <v>17</v>
      </c>
      <c r="G61" s="16">
        <v>100</v>
      </c>
      <c r="H61">
        <f t="shared" si="6"/>
        <v>6270.45</v>
      </c>
      <c r="I61">
        <v>7377</v>
      </c>
      <c r="J61">
        <v>6139.61</v>
      </c>
      <c r="K61" s="17">
        <f t="shared" si="8"/>
        <v>1237.3900000000003</v>
      </c>
      <c r="L61" s="17">
        <f t="shared" si="5"/>
        <v>123739.00000000003</v>
      </c>
      <c r="M61" t="s">
        <v>18</v>
      </c>
      <c r="O61" s="15">
        <f t="shared" si="7"/>
        <v>6139.61</v>
      </c>
      <c r="P61" s="1">
        <f t="shared" si="2"/>
        <v>123739.00000000003</v>
      </c>
      <c r="Q61">
        <f t="shared" si="3"/>
        <v>0</v>
      </c>
    </row>
    <row r="62" spans="2:17" x14ac:dyDescent="0.35">
      <c r="C62" s="7">
        <v>4100248683</v>
      </c>
      <c r="D62" s="8">
        <v>6603120</v>
      </c>
      <c r="E62" t="s">
        <v>68</v>
      </c>
      <c r="F62" s="9" t="s">
        <v>17</v>
      </c>
      <c r="G62" s="7">
        <v>500</v>
      </c>
      <c r="H62">
        <f t="shared" si="6"/>
        <v>1147.5</v>
      </c>
      <c r="I62">
        <v>1350</v>
      </c>
      <c r="J62">
        <v>950</v>
      </c>
      <c r="K62" s="17">
        <f t="shared" si="8"/>
        <v>400</v>
      </c>
      <c r="L62" s="17">
        <f t="shared" si="5"/>
        <v>200000</v>
      </c>
      <c r="M62" t="s">
        <v>18</v>
      </c>
      <c r="O62" s="15">
        <f t="shared" si="7"/>
        <v>950</v>
      </c>
      <c r="P62" s="1">
        <f t="shared" si="2"/>
        <v>200000</v>
      </c>
      <c r="Q62">
        <f t="shared" si="3"/>
        <v>0</v>
      </c>
    </row>
    <row r="63" spans="2:17" x14ac:dyDescent="0.35">
      <c r="C63" s="7">
        <v>4100252221</v>
      </c>
      <c r="D63" s="8">
        <v>6603120</v>
      </c>
      <c r="E63" t="s">
        <v>68</v>
      </c>
      <c r="F63" s="9" t="s">
        <v>17</v>
      </c>
      <c r="G63" s="7">
        <v>500</v>
      </c>
      <c r="H63">
        <f t="shared" si="6"/>
        <v>1147.5</v>
      </c>
      <c r="I63">
        <v>1350</v>
      </c>
      <c r="J63">
        <v>950</v>
      </c>
      <c r="K63" s="17">
        <f t="shared" si="8"/>
        <v>400</v>
      </c>
      <c r="L63" s="17">
        <f t="shared" si="5"/>
        <v>200000</v>
      </c>
      <c r="M63" t="s">
        <v>18</v>
      </c>
      <c r="O63" s="15">
        <f t="shared" si="7"/>
        <v>950</v>
      </c>
      <c r="P63" s="1">
        <f t="shared" si="2"/>
        <v>200000</v>
      </c>
      <c r="Q63">
        <f t="shared" si="3"/>
        <v>0</v>
      </c>
    </row>
    <row r="64" spans="2:17" x14ac:dyDescent="0.35">
      <c r="C64" s="7">
        <v>4100255003</v>
      </c>
      <c r="D64" s="8">
        <v>6603120</v>
      </c>
      <c r="E64" t="s">
        <v>68</v>
      </c>
      <c r="F64" s="9" t="s">
        <v>17</v>
      </c>
      <c r="G64" s="7">
        <v>500</v>
      </c>
      <c r="H64">
        <f t="shared" si="6"/>
        <v>1147.5</v>
      </c>
      <c r="I64">
        <v>1350</v>
      </c>
      <c r="J64">
        <v>950</v>
      </c>
      <c r="K64" s="17">
        <f t="shared" si="8"/>
        <v>400</v>
      </c>
      <c r="L64" s="17">
        <f t="shared" si="5"/>
        <v>200000</v>
      </c>
      <c r="M64" t="s">
        <v>18</v>
      </c>
      <c r="O64" s="15">
        <f t="shared" si="7"/>
        <v>950</v>
      </c>
      <c r="P64" s="1">
        <f t="shared" si="2"/>
        <v>200000</v>
      </c>
      <c r="Q64">
        <f t="shared" si="3"/>
        <v>0</v>
      </c>
    </row>
    <row r="65" spans="3:17" x14ac:dyDescent="0.35">
      <c r="C65" s="7">
        <v>4100263343</v>
      </c>
      <c r="D65" s="8">
        <v>6603483</v>
      </c>
      <c r="E65" t="s">
        <v>69</v>
      </c>
      <c r="F65" s="9" t="s">
        <v>17</v>
      </c>
      <c r="G65" s="7">
        <v>300</v>
      </c>
      <c r="H65">
        <f t="shared" si="6"/>
        <v>364.65</v>
      </c>
      <c r="I65">
        <v>429</v>
      </c>
      <c r="J65">
        <v>325.01</v>
      </c>
      <c r="K65" s="17">
        <f t="shared" si="8"/>
        <v>103.99000000000001</v>
      </c>
      <c r="L65" s="17">
        <f t="shared" si="5"/>
        <v>31197.000000000004</v>
      </c>
      <c r="M65" t="s">
        <v>18</v>
      </c>
      <c r="O65" s="15">
        <f t="shared" si="7"/>
        <v>325.01</v>
      </c>
      <c r="P65" s="1">
        <f t="shared" si="2"/>
        <v>31197.000000000004</v>
      </c>
      <c r="Q65">
        <f t="shared" si="3"/>
        <v>0</v>
      </c>
    </row>
    <row r="66" spans="3:17" x14ac:dyDescent="0.35">
      <c r="C66" s="7">
        <v>4100263343</v>
      </c>
      <c r="D66" s="8">
        <v>6603484</v>
      </c>
      <c r="E66" t="s">
        <v>70</v>
      </c>
      <c r="F66" s="9" t="s">
        <v>17</v>
      </c>
      <c r="G66" s="7">
        <v>100</v>
      </c>
      <c r="H66">
        <f t="shared" si="6"/>
        <v>632.4</v>
      </c>
      <c r="I66">
        <v>744</v>
      </c>
      <c r="J66">
        <v>611.94000000000005</v>
      </c>
      <c r="K66" s="17">
        <f t="shared" si="8"/>
        <v>132.05999999999995</v>
      </c>
      <c r="L66" s="17">
        <f t="shared" si="5"/>
        <v>13205.999999999995</v>
      </c>
      <c r="M66" t="s">
        <v>18</v>
      </c>
      <c r="O66" s="15">
        <f t="shared" si="7"/>
        <v>611.94000000000005</v>
      </c>
      <c r="P66" s="1">
        <f t="shared" si="2"/>
        <v>13205.999999999995</v>
      </c>
      <c r="Q66">
        <f t="shared" si="3"/>
        <v>0</v>
      </c>
    </row>
    <row r="67" spans="3:17" x14ac:dyDescent="0.35">
      <c r="C67" s="7">
        <v>4100263343</v>
      </c>
      <c r="D67" s="8">
        <v>6603486</v>
      </c>
      <c r="E67" t="s">
        <v>48</v>
      </c>
      <c r="F67" s="9" t="s">
        <v>17</v>
      </c>
      <c r="G67" s="7">
        <v>100</v>
      </c>
      <c r="H67">
        <f t="shared" si="6"/>
        <v>3269.1</v>
      </c>
      <c r="I67">
        <v>3846</v>
      </c>
      <c r="J67">
        <v>2997.66</v>
      </c>
      <c r="K67" s="17">
        <f t="shared" si="8"/>
        <v>848.34000000000015</v>
      </c>
      <c r="L67" s="17">
        <f t="shared" si="5"/>
        <v>84834.000000000015</v>
      </c>
      <c r="M67" t="s">
        <v>18</v>
      </c>
      <c r="O67" s="15">
        <f t="shared" si="7"/>
        <v>2997.66</v>
      </c>
      <c r="P67" s="1">
        <f t="shared" si="2"/>
        <v>84834.000000000015</v>
      </c>
      <c r="Q67">
        <f t="shared" si="3"/>
        <v>0</v>
      </c>
    </row>
    <row r="68" spans="3:17" x14ac:dyDescent="0.35">
      <c r="C68" s="7">
        <v>4100263343</v>
      </c>
      <c r="D68" s="8">
        <v>6603487</v>
      </c>
      <c r="E68" t="s">
        <v>71</v>
      </c>
      <c r="F68" s="9" t="s">
        <v>17</v>
      </c>
      <c r="G68" s="7">
        <v>100</v>
      </c>
      <c r="H68">
        <f t="shared" si="6"/>
        <v>3689.85</v>
      </c>
      <c r="I68">
        <v>4341</v>
      </c>
      <c r="J68">
        <v>3383.31</v>
      </c>
      <c r="K68" s="17">
        <f t="shared" si="8"/>
        <v>957.69</v>
      </c>
      <c r="L68" s="17">
        <f t="shared" si="5"/>
        <v>95769</v>
      </c>
      <c r="M68" t="s">
        <v>18</v>
      </c>
      <c r="O68" s="15">
        <f t="shared" si="7"/>
        <v>3383.31</v>
      </c>
      <c r="P68" s="1">
        <f t="shared" ref="P68:P131" si="9">(I68-O68)*G68</f>
        <v>95769</v>
      </c>
      <c r="Q68">
        <f t="shared" ref="Q68:Q131" si="10">IF(O68=MIN(H68:J68),"0",O68-MIN(H68:J68))*G68</f>
        <v>0</v>
      </c>
    </row>
    <row r="69" spans="3:17" x14ac:dyDescent="0.35">
      <c r="C69" s="7">
        <v>4100263343</v>
      </c>
      <c r="D69" s="8">
        <v>6603488</v>
      </c>
      <c r="E69" t="s">
        <v>72</v>
      </c>
      <c r="F69" s="9" t="s">
        <v>17</v>
      </c>
      <c r="G69" s="7">
        <v>200</v>
      </c>
      <c r="H69">
        <f t="shared" si="6"/>
        <v>252.45</v>
      </c>
      <c r="I69">
        <v>297</v>
      </c>
      <c r="J69">
        <v>210.47</v>
      </c>
      <c r="K69" s="17">
        <f t="shared" si="8"/>
        <v>86.53</v>
      </c>
      <c r="L69" s="17">
        <f t="shared" ref="L69:L118" si="11">G69*K69</f>
        <v>17306</v>
      </c>
      <c r="M69" t="s">
        <v>18</v>
      </c>
      <c r="O69" s="15">
        <f t="shared" si="7"/>
        <v>210.47</v>
      </c>
      <c r="P69" s="1">
        <f t="shared" si="9"/>
        <v>17306</v>
      </c>
      <c r="Q69">
        <f t="shared" si="10"/>
        <v>0</v>
      </c>
    </row>
    <row r="70" spans="3:17" x14ac:dyDescent="0.35">
      <c r="C70" s="7">
        <v>4100251917</v>
      </c>
      <c r="D70" s="8">
        <v>6604002</v>
      </c>
      <c r="E70" t="s">
        <v>73</v>
      </c>
      <c r="F70" s="9" t="s">
        <v>17</v>
      </c>
      <c r="G70" s="7">
        <v>60</v>
      </c>
      <c r="H70">
        <f t="shared" si="6"/>
        <v>1224</v>
      </c>
      <c r="I70">
        <v>1440</v>
      </c>
      <c r="J70">
        <v>1025.54</v>
      </c>
      <c r="K70" s="17">
        <f t="shared" si="8"/>
        <v>414.46000000000004</v>
      </c>
      <c r="L70" s="17">
        <f t="shared" si="11"/>
        <v>24867.600000000002</v>
      </c>
      <c r="M70" t="s">
        <v>18</v>
      </c>
      <c r="O70" s="15">
        <f t="shared" si="7"/>
        <v>1025.54</v>
      </c>
      <c r="P70" s="1">
        <f t="shared" si="9"/>
        <v>24867.600000000002</v>
      </c>
      <c r="Q70">
        <f t="shared" si="10"/>
        <v>0</v>
      </c>
    </row>
    <row r="71" spans="3:17" x14ac:dyDescent="0.35">
      <c r="C71" s="7">
        <v>4100248585</v>
      </c>
      <c r="D71" s="8">
        <v>6601229</v>
      </c>
      <c r="E71" t="s">
        <v>74</v>
      </c>
      <c r="F71" s="9" t="s">
        <v>17</v>
      </c>
      <c r="G71" s="7">
        <v>10000</v>
      </c>
      <c r="H71">
        <f t="shared" si="6"/>
        <v>33.15</v>
      </c>
      <c r="I71">
        <v>39</v>
      </c>
      <c r="J71">
        <v>10.8</v>
      </c>
      <c r="K71" s="17">
        <f t="shared" si="8"/>
        <v>28.2</v>
      </c>
      <c r="L71" s="17">
        <f t="shared" si="11"/>
        <v>282000</v>
      </c>
      <c r="M71" t="s">
        <v>37</v>
      </c>
      <c r="O71" s="15">
        <f t="shared" si="7"/>
        <v>10.8</v>
      </c>
      <c r="P71" s="1">
        <f t="shared" si="9"/>
        <v>282000</v>
      </c>
      <c r="Q71">
        <f t="shared" si="10"/>
        <v>0</v>
      </c>
    </row>
    <row r="72" spans="3:17" x14ac:dyDescent="0.35">
      <c r="C72" s="7">
        <v>4100253600</v>
      </c>
      <c r="D72" s="8">
        <v>6601246</v>
      </c>
      <c r="E72" t="s">
        <v>75</v>
      </c>
      <c r="F72" s="9" t="s">
        <v>17</v>
      </c>
      <c r="G72" s="7">
        <v>100</v>
      </c>
      <c r="H72">
        <f t="shared" si="6"/>
        <v>418.2</v>
      </c>
      <c r="I72">
        <v>492</v>
      </c>
      <c r="J72">
        <v>329</v>
      </c>
      <c r="K72" s="17">
        <f t="shared" si="8"/>
        <v>163</v>
      </c>
      <c r="L72" s="17">
        <f t="shared" si="11"/>
        <v>16300</v>
      </c>
      <c r="M72" t="s">
        <v>37</v>
      </c>
      <c r="O72" s="15">
        <f t="shared" si="7"/>
        <v>329</v>
      </c>
      <c r="P72" s="1">
        <f t="shared" si="9"/>
        <v>16300</v>
      </c>
      <c r="Q72">
        <f t="shared" si="10"/>
        <v>0</v>
      </c>
    </row>
    <row r="73" spans="3:17" x14ac:dyDescent="0.35">
      <c r="C73" s="7">
        <v>4100253600</v>
      </c>
      <c r="D73" s="8">
        <v>6602940</v>
      </c>
      <c r="E73" t="s">
        <v>76</v>
      </c>
      <c r="F73" s="9" t="s">
        <v>17</v>
      </c>
      <c r="G73" s="7">
        <v>100</v>
      </c>
      <c r="H73">
        <f t="shared" si="6"/>
        <v>209.1</v>
      </c>
      <c r="I73">
        <v>246</v>
      </c>
      <c r="J73">
        <v>229.36</v>
      </c>
      <c r="K73" s="17">
        <f t="shared" si="8"/>
        <v>16.639999999999986</v>
      </c>
      <c r="L73" s="17">
        <f t="shared" si="11"/>
        <v>1663.9999999999986</v>
      </c>
      <c r="M73" t="s">
        <v>37</v>
      </c>
      <c r="O73" s="15">
        <f t="shared" si="7"/>
        <v>229.36</v>
      </c>
      <c r="P73" s="1">
        <f t="shared" si="9"/>
        <v>1663.9999999999986</v>
      </c>
      <c r="Q73">
        <f t="shared" si="10"/>
        <v>2026.0000000000018</v>
      </c>
    </row>
    <row r="74" spans="3:17" x14ac:dyDescent="0.35">
      <c r="C74" s="7">
        <v>4100253600</v>
      </c>
      <c r="D74" s="8">
        <v>6602945</v>
      </c>
      <c r="E74" t="s">
        <v>77</v>
      </c>
      <c r="F74" s="9" t="s">
        <v>17</v>
      </c>
      <c r="G74" s="7">
        <v>100</v>
      </c>
      <c r="H74">
        <f t="shared" si="6"/>
        <v>206.54999999999998</v>
      </c>
      <c r="I74">
        <v>243</v>
      </c>
      <c r="J74">
        <v>208.68</v>
      </c>
      <c r="K74" s="17">
        <f t="shared" si="8"/>
        <v>34.319999999999993</v>
      </c>
      <c r="L74" s="17">
        <f t="shared" si="11"/>
        <v>3431.9999999999991</v>
      </c>
      <c r="M74" t="s">
        <v>37</v>
      </c>
      <c r="O74" s="15">
        <f t="shared" si="7"/>
        <v>208.68</v>
      </c>
      <c r="P74" s="1">
        <f t="shared" si="9"/>
        <v>3431.9999999999991</v>
      </c>
      <c r="Q74">
        <f t="shared" si="10"/>
        <v>213.00000000000239</v>
      </c>
    </row>
    <row r="75" spans="3:17" x14ac:dyDescent="0.35">
      <c r="C75" s="7">
        <v>4100264963</v>
      </c>
      <c r="D75" s="8">
        <v>6603486</v>
      </c>
      <c r="E75" t="s">
        <v>48</v>
      </c>
      <c r="F75" s="9" t="s">
        <v>17</v>
      </c>
      <c r="G75" s="7">
        <v>100</v>
      </c>
      <c r="H75">
        <f t="shared" si="6"/>
        <v>3269.1</v>
      </c>
      <c r="I75">
        <v>3846</v>
      </c>
      <c r="J75">
        <v>2997.66</v>
      </c>
      <c r="K75" s="17">
        <f t="shared" si="8"/>
        <v>848.34000000000015</v>
      </c>
      <c r="L75" s="17">
        <f t="shared" si="11"/>
        <v>84834.000000000015</v>
      </c>
      <c r="M75" t="s">
        <v>37</v>
      </c>
      <c r="O75" s="15">
        <f t="shared" si="7"/>
        <v>2997.66</v>
      </c>
      <c r="P75" s="1">
        <f t="shared" si="9"/>
        <v>84834.000000000015</v>
      </c>
      <c r="Q75">
        <f t="shared" si="10"/>
        <v>0</v>
      </c>
    </row>
    <row r="76" spans="3:17" x14ac:dyDescent="0.35">
      <c r="C76" s="7">
        <v>4100264882</v>
      </c>
      <c r="D76" s="8">
        <v>6604000</v>
      </c>
      <c r="E76" t="s">
        <v>52</v>
      </c>
      <c r="F76" s="9" t="s">
        <v>17</v>
      </c>
      <c r="G76" s="7">
        <v>100</v>
      </c>
      <c r="H76">
        <f t="shared" si="6"/>
        <v>535.5</v>
      </c>
      <c r="I76">
        <v>630</v>
      </c>
      <c r="J76">
        <v>336.29</v>
      </c>
      <c r="K76" s="17">
        <f t="shared" si="8"/>
        <v>293.70999999999998</v>
      </c>
      <c r="L76" s="17">
        <f t="shared" si="11"/>
        <v>29370.999999999996</v>
      </c>
      <c r="M76" t="s">
        <v>37</v>
      </c>
      <c r="O76" s="15">
        <f t="shared" si="7"/>
        <v>336.29</v>
      </c>
      <c r="P76" s="1">
        <f t="shared" si="9"/>
        <v>29370.999999999996</v>
      </c>
      <c r="Q76">
        <f t="shared" si="10"/>
        <v>0</v>
      </c>
    </row>
    <row r="77" spans="3:17" x14ac:dyDescent="0.35">
      <c r="C77" s="7">
        <v>4100260657</v>
      </c>
      <c r="D77">
        <v>6604048</v>
      </c>
      <c r="E77" t="s">
        <v>78</v>
      </c>
      <c r="F77" s="9" t="s">
        <v>17</v>
      </c>
      <c r="G77" s="7">
        <v>20000</v>
      </c>
      <c r="H77">
        <f t="shared" si="6"/>
        <v>20.399999999999999</v>
      </c>
      <c r="I77">
        <v>24</v>
      </c>
      <c r="J77">
        <v>7</v>
      </c>
      <c r="K77" s="17">
        <f t="shared" si="8"/>
        <v>17</v>
      </c>
      <c r="L77" s="17">
        <f t="shared" si="11"/>
        <v>340000</v>
      </c>
      <c r="M77" t="s">
        <v>37</v>
      </c>
      <c r="O77" s="15">
        <f t="shared" si="7"/>
        <v>7</v>
      </c>
      <c r="P77" s="1">
        <f t="shared" si="9"/>
        <v>340000</v>
      </c>
      <c r="Q77">
        <f t="shared" si="10"/>
        <v>0</v>
      </c>
    </row>
    <row r="78" spans="3:17" x14ac:dyDescent="0.35">
      <c r="C78" s="7">
        <v>4100264486</v>
      </c>
      <c r="D78">
        <v>6604048</v>
      </c>
      <c r="E78" t="s">
        <v>78</v>
      </c>
      <c r="F78" s="9" t="s">
        <v>17</v>
      </c>
      <c r="G78" s="7">
        <v>500</v>
      </c>
      <c r="H78">
        <f t="shared" si="6"/>
        <v>20.399999999999999</v>
      </c>
      <c r="I78">
        <v>24</v>
      </c>
      <c r="J78">
        <v>7</v>
      </c>
      <c r="K78" s="17">
        <f t="shared" si="8"/>
        <v>17</v>
      </c>
      <c r="L78" s="17">
        <f t="shared" si="11"/>
        <v>8500</v>
      </c>
      <c r="M78" t="s">
        <v>37</v>
      </c>
      <c r="O78" s="15">
        <f t="shared" si="7"/>
        <v>7</v>
      </c>
      <c r="P78" s="1">
        <f t="shared" si="9"/>
        <v>8500</v>
      </c>
      <c r="Q78">
        <f t="shared" si="10"/>
        <v>0</v>
      </c>
    </row>
    <row r="79" spans="3:17" x14ac:dyDescent="0.35">
      <c r="C79" s="7">
        <v>4100259794</v>
      </c>
      <c r="D79">
        <v>6604048</v>
      </c>
      <c r="E79" t="s">
        <v>78</v>
      </c>
      <c r="F79" s="9" t="s">
        <v>17</v>
      </c>
      <c r="G79" s="7">
        <v>5000</v>
      </c>
      <c r="H79">
        <f t="shared" si="6"/>
        <v>20.399999999999999</v>
      </c>
      <c r="I79">
        <v>24</v>
      </c>
      <c r="J79">
        <v>7</v>
      </c>
      <c r="K79" s="17">
        <f t="shared" si="8"/>
        <v>17</v>
      </c>
      <c r="L79" s="17">
        <f t="shared" si="11"/>
        <v>85000</v>
      </c>
      <c r="M79" t="s">
        <v>37</v>
      </c>
      <c r="O79" s="15">
        <f t="shared" si="7"/>
        <v>7</v>
      </c>
      <c r="P79" s="1">
        <f t="shared" si="9"/>
        <v>85000</v>
      </c>
      <c r="Q79">
        <f t="shared" si="10"/>
        <v>0</v>
      </c>
    </row>
    <row r="80" spans="3:17" x14ac:dyDescent="0.35">
      <c r="C80" s="7">
        <v>4100262111</v>
      </c>
      <c r="D80" s="8">
        <v>6601193</v>
      </c>
      <c r="E80" t="s">
        <v>79</v>
      </c>
      <c r="F80" s="9" t="s">
        <v>17</v>
      </c>
      <c r="G80" s="7">
        <v>100</v>
      </c>
      <c r="H80">
        <f t="shared" si="6"/>
        <v>1167.8999999999999</v>
      </c>
      <c r="I80">
        <v>1374</v>
      </c>
      <c r="J80">
        <v>1088.05</v>
      </c>
      <c r="K80" s="17">
        <f>I80-J80</f>
        <v>285.95000000000005</v>
      </c>
      <c r="L80" s="17">
        <f t="shared" si="11"/>
        <v>28595.000000000004</v>
      </c>
      <c r="M80" t="s">
        <v>64</v>
      </c>
      <c r="O80" s="15">
        <f t="shared" si="7"/>
        <v>1088.05</v>
      </c>
      <c r="P80" s="1">
        <f t="shared" si="9"/>
        <v>28595.000000000004</v>
      </c>
      <c r="Q80">
        <f t="shared" si="10"/>
        <v>0</v>
      </c>
    </row>
    <row r="81" spans="3:17" x14ac:dyDescent="0.35">
      <c r="C81" s="7">
        <v>4100249654</v>
      </c>
      <c r="D81" s="8">
        <v>6602292</v>
      </c>
      <c r="E81" t="s">
        <v>80</v>
      </c>
      <c r="F81" s="9" t="s">
        <v>17</v>
      </c>
      <c r="G81" s="7">
        <v>100</v>
      </c>
      <c r="H81">
        <f t="shared" si="6"/>
        <v>252.45</v>
      </c>
      <c r="I81">
        <v>297</v>
      </c>
      <c r="J81">
        <v>210.47</v>
      </c>
      <c r="K81" s="17">
        <f t="shared" si="8"/>
        <v>86.53</v>
      </c>
      <c r="L81" s="17">
        <f t="shared" si="11"/>
        <v>8653</v>
      </c>
      <c r="M81" t="s">
        <v>64</v>
      </c>
      <c r="O81" s="15">
        <f t="shared" si="7"/>
        <v>210.47</v>
      </c>
      <c r="P81" s="1">
        <f t="shared" si="9"/>
        <v>8653</v>
      </c>
      <c r="Q81">
        <f t="shared" si="10"/>
        <v>0</v>
      </c>
    </row>
    <row r="82" spans="3:17" x14ac:dyDescent="0.35">
      <c r="C82" s="7">
        <v>4100249654</v>
      </c>
      <c r="D82" s="8">
        <v>6604000</v>
      </c>
      <c r="E82" t="s">
        <v>52</v>
      </c>
      <c r="F82" s="9" t="s">
        <v>17</v>
      </c>
      <c r="G82" s="7">
        <v>100</v>
      </c>
      <c r="H82">
        <f t="shared" si="6"/>
        <v>535.5</v>
      </c>
      <c r="I82">
        <v>630</v>
      </c>
      <c r="J82">
        <v>336.29</v>
      </c>
      <c r="K82" s="17">
        <f t="shared" si="8"/>
        <v>293.70999999999998</v>
      </c>
      <c r="L82" s="17">
        <f t="shared" si="11"/>
        <v>29370.999999999996</v>
      </c>
      <c r="M82" t="s">
        <v>64</v>
      </c>
      <c r="O82" s="15">
        <f t="shared" si="7"/>
        <v>336.29</v>
      </c>
      <c r="P82" s="1">
        <f t="shared" si="9"/>
        <v>29370.999999999996</v>
      </c>
      <c r="Q82">
        <f t="shared" si="10"/>
        <v>0</v>
      </c>
    </row>
    <row r="83" spans="3:17" x14ac:dyDescent="0.35">
      <c r="C83" s="7">
        <v>4100249654</v>
      </c>
      <c r="D83" s="8">
        <v>6605764</v>
      </c>
      <c r="E83" t="s">
        <v>81</v>
      </c>
      <c r="F83" s="9" t="s">
        <v>17</v>
      </c>
      <c r="G83" s="7">
        <v>100</v>
      </c>
      <c r="H83">
        <f t="shared" si="6"/>
        <v>295.8</v>
      </c>
      <c r="I83">
        <v>348</v>
      </c>
      <c r="J83">
        <v>261.45999999999998</v>
      </c>
      <c r="K83" s="17">
        <f t="shared" si="8"/>
        <v>86.54000000000002</v>
      </c>
      <c r="L83" s="17">
        <f t="shared" si="11"/>
        <v>8654.0000000000018</v>
      </c>
      <c r="M83" t="s">
        <v>64</v>
      </c>
      <c r="O83" s="15">
        <f t="shared" si="7"/>
        <v>261.45999999999998</v>
      </c>
      <c r="P83" s="1">
        <f t="shared" si="9"/>
        <v>8654.0000000000018</v>
      </c>
      <c r="Q83">
        <f t="shared" si="10"/>
        <v>0</v>
      </c>
    </row>
    <row r="84" spans="3:17" x14ac:dyDescent="0.35">
      <c r="C84" s="7">
        <v>4100259561</v>
      </c>
      <c r="D84" s="8">
        <v>6605764</v>
      </c>
      <c r="E84" t="s">
        <v>81</v>
      </c>
      <c r="F84" s="9" t="s">
        <v>17</v>
      </c>
      <c r="G84" s="7">
        <v>100</v>
      </c>
      <c r="H84">
        <f t="shared" si="6"/>
        <v>295.8</v>
      </c>
      <c r="I84">
        <v>348</v>
      </c>
      <c r="J84">
        <v>261.45999999999998</v>
      </c>
      <c r="K84" s="17">
        <f t="shared" si="8"/>
        <v>86.54000000000002</v>
      </c>
      <c r="L84" s="17">
        <f t="shared" si="11"/>
        <v>8654.0000000000018</v>
      </c>
      <c r="M84" t="s">
        <v>64</v>
      </c>
      <c r="O84" s="15">
        <f t="shared" si="7"/>
        <v>261.45999999999998</v>
      </c>
      <c r="P84" s="1">
        <f t="shared" si="9"/>
        <v>8654.0000000000018</v>
      </c>
      <c r="Q84">
        <f t="shared" si="10"/>
        <v>0</v>
      </c>
    </row>
    <row r="85" spans="3:17" x14ac:dyDescent="0.35">
      <c r="C85">
        <v>4100256873</v>
      </c>
      <c r="D85">
        <v>6601916</v>
      </c>
      <c r="E85" t="s">
        <v>82</v>
      </c>
      <c r="F85" t="s">
        <v>17</v>
      </c>
      <c r="G85">
        <v>100</v>
      </c>
      <c r="H85">
        <v>178.75</v>
      </c>
      <c r="I85">
        <v>205.8</v>
      </c>
      <c r="J85" s="11">
        <f>H85*115%</f>
        <v>205.56249999999997</v>
      </c>
      <c r="K85" s="17">
        <f>I85-H85</f>
        <v>27.050000000000011</v>
      </c>
      <c r="L85" s="17">
        <f t="shared" si="11"/>
        <v>2705.0000000000009</v>
      </c>
      <c r="M85" t="s">
        <v>83</v>
      </c>
      <c r="O85" s="15">
        <f>H85</f>
        <v>178.75</v>
      </c>
      <c r="P85" s="1">
        <f t="shared" si="9"/>
        <v>2705.0000000000009</v>
      </c>
      <c r="Q85">
        <f t="shared" si="10"/>
        <v>0</v>
      </c>
    </row>
    <row r="86" spans="3:17" x14ac:dyDescent="0.35">
      <c r="C86">
        <v>4100256873</v>
      </c>
      <c r="D86">
        <v>6601916</v>
      </c>
      <c r="E86" t="s">
        <v>84</v>
      </c>
      <c r="F86" t="s">
        <v>17</v>
      </c>
      <c r="G86">
        <v>100</v>
      </c>
      <c r="H86">
        <v>276.25</v>
      </c>
      <c r="I86">
        <v>306</v>
      </c>
      <c r="J86" s="11">
        <f t="shared" ref="J86:J149" si="12">H86*115%</f>
        <v>317.6875</v>
      </c>
      <c r="K86" s="17">
        <f t="shared" ref="K86:K99" si="13">I86-H86</f>
        <v>29.75</v>
      </c>
      <c r="L86" s="17">
        <f t="shared" si="11"/>
        <v>2975</v>
      </c>
      <c r="M86" t="s">
        <v>83</v>
      </c>
      <c r="O86" s="15">
        <f t="shared" ref="O86:O118" si="14">H86</f>
        <v>276.25</v>
      </c>
      <c r="P86" s="1">
        <f t="shared" si="9"/>
        <v>2975</v>
      </c>
      <c r="Q86">
        <f t="shared" si="10"/>
        <v>0</v>
      </c>
    </row>
    <row r="87" spans="3:17" x14ac:dyDescent="0.35">
      <c r="C87">
        <v>4100256873</v>
      </c>
      <c r="D87">
        <v>6603800</v>
      </c>
      <c r="E87" t="s">
        <v>85</v>
      </c>
      <c r="F87" t="s">
        <v>17</v>
      </c>
      <c r="G87">
        <v>100</v>
      </c>
      <c r="H87">
        <v>624</v>
      </c>
      <c r="I87">
        <v>702</v>
      </c>
      <c r="J87" s="11">
        <f t="shared" si="12"/>
        <v>717.59999999999991</v>
      </c>
      <c r="K87" s="17">
        <f t="shared" si="13"/>
        <v>78</v>
      </c>
      <c r="L87" s="17">
        <f t="shared" si="11"/>
        <v>7800</v>
      </c>
      <c r="M87" t="s">
        <v>83</v>
      </c>
      <c r="O87" s="15">
        <f t="shared" si="14"/>
        <v>624</v>
      </c>
      <c r="P87" s="1">
        <f t="shared" si="9"/>
        <v>7800</v>
      </c>
      <c r="Q87">
        <f t="shared" si="10"/>
        <v>0</v>
      </c>
    </row>
    <row r="88" spans="3:17" x14ac:dyDescent="0.35">
      <c r="C88">
        <v>4100256873</v>
      </c>
      <c r="D88">
        <v>6604000</v>
      </c>
      <c r="E88" t="s">
        <v>52</v>
      </c>
      <c r="F88" t="s">
        <v>17</v>
      </c>
      <c r="G88">
        <v>100</v>
      </c>
      <c r="H88">
        <v>390</v>
      </c>
      <c r="I88">
        <v>630</v>
      </c>
      <c r="J88" s="11">
        <f t="shared" si="12"/>
        <v>448.49999999999994</v>
      </c>
      <c r="K88" s="17">
        <f t="shared" si="13"/>
        <v>240</v>
      </c>
      <c r="L88" s="17">
        <f t="shared" si="11"/>
        <v>24000</v>
      </c>
      <c r="M88" t="s">
        <v>83</v>
      </c>
      <c r="O88" s="15">
        <f t="shared" si="14"/>
        <v>390</v>
      </c>
      <c r="P88" s="1">
        <f t="shared" si="9"/>
        <v>24000</v>
      </c>
      <c r="Q88">
        <f t="shared" si="10"/>
        <v>0</v>
      </c>
    </row>
    <row r="89" spans="3:17" x14ac:dyDescent="0.35">
      <c r="C89">
        <v>4100256873</v>
      </c>
      <c r="D89">
        <v>6604004</v>
      </c>
      <c r="E89" t="s">
        <v>55</v>
      </c>
      <c r="F89" t="s">
        <v>17</v>
      </c>
      <c r="G89">
        <v>100</v>
      </c>
      <c r="H89">
        <v>455</v>
      </c>
      <c r="I89">
        <v>741</v>
      </c>
      <c r="J89" s="11">
        <f t="shared" si="12"/>
        <v>523.25</v>
      </c>
      <c r="K89" s="17">
        <f t="shared" si="13"/>
        <v>286</v>
      </c>
      <c r="L89" s="17">
        <f t="shared" si="11"/>
        <v>28600</v>
      </c>
      <c r="M89" t="s">
        <v>83</v>
      </c>
      <c r="O89" s="15">
        <f t="shared" si="14"/>
        <v>455</v>
      </c>
      <c r="P89" s="1">
        <f t="shared" si="9"/>
        <v>28600</v>
      </c>
      <c r="Q89">
        <f t="shared" si="10"/>
        <v>0</v>
      </c>
    </row>
    <row r="90" spans="3:17" x14ac:dyDescent="0.35">
      <c r="C90">
        <v>4100256873</v>
      </c>
      <c r="D90">
        <v>6604006</v>
      </c>
      <c r="E90" t="s">
        <v>56</v>
      </c>
      <c r="F90" t="s">
        <v>17</v>
      </c>
      <c r="G90">
        <v>100</v>
      </c>
      <c r="H90">
        <v>357.5</v>
      </c>
      <c r="I90">
        <v>612</v>
      </c>
      <c r="J90" s="11">
        <f t="shared" si="12"/>
        <v>411.12499999999994</v>
      </c>
      <c r="K90" s="17">
        <f t="shared" si="13"/>
        <v>254.5</v>
      </c>
      <c r="L90" s="17">
        <f t="shared" si="11"/>
        <v>25450</v>
      </c>
      <c r="M90" t="s">
        <v>83</v>
      </c>
      <c r="O90" s="15">
        <f t="shared" si="14"/>
        <v>357.5</v>
      </c>
      <c r="P90" s="1">
        <f t="shared" si="9"/>
        <v>25450</v>
      </c>
      <c r="Q90">
        <f t="shared" si="10"/>
        <v>0</v>
      </c>
    </row>
    <row r="91" spans="3:17" x14ac:dyDescent="0.35">
      <c r="C91">
        <v>4100256873</v>
      </c>
      <c r="D91">
        <v>6604009</v>
      </c>
      <c r="E91" t="s">
        <v>58</v>
      </c>
      <c r="F91" t="s">
        <v>17</v>
      </c>
      <c r="G91">
        <v>100</v>
      </c>
      <c r="H91">
        <v>377</v>
      </c>
      <c r="I91">
        <v>600</v>
      </c>
      <c r="J91" s="11">
        <f t="shared" si="12"/>
        <v>433.54999999999995</v>
      </c>
      <c r="K91" s="17">
        <f t="shared" si="13"/>
        <v>223</v>
      </c>
      <c r="L91" s="17">
        <f t="shared" si="11"/>
        <v>22300</v>
      </c>
      <c r="M91" t="s">
        <v>83</v>
      </c>
      <c r="O91" s="15">
        <f t="shared" si="14"/>
        <v>377</v>
      </c>
      <c r="P91" s="1">
        <f t="shared" si="9"/>
        <v>22300</v>
      </c>
      <c r="Q91">
        <f t="shared" si="10"/>
        <v>0</v>
      </c>
    </row>
    <row r="92" spans="3:17" x14ac:dyDescent="0.35">
      <c r="C92">
        <v>4100251581</v>
      </c>
      <c r="D92">
        <v>6606775</v>
      </c>
      <c r="E92" t="s">
        <v>86</v>
      </c>
      <c r="F92" t="s">
        <v>17</v>
      </c>
      <c r="G92">
        <v>100</v>
      </c>
      <c r="H92">
        <v>429</v>
      </c>
      <c r="I92">
        <v>429</v>
      </c>
      <c r="J92" s="11">
        <f t="shared" si="12"/>
        <v>493.34999999999997</v>
      </c>
      <c r="K92" s="17">
        <f t="shared" si="13"/>
        <v>0</v>
      </c>
      <c r="L92" s="17">
        <f t="shared" si="11"/>
        <v>0</v>
      </c>
      <c r="M92" t="s">
        <v>83</v>
      </c>
      <c r="O92" s="15">
        <f t="shared" si="14"/>
        <v>429</v>
      </c>
      <c r="P92" s="1">
        <f t="shared" si="9"/>
        <v>0</v>
      </c>
      <c r="Q92">
        <f t="shared" si="10"/>
        <v>0</v>
      </c>
    </row>
    <row r="93" spans="3:17" x14ac:dyDescent="0.35">
      <c r="C93">
        <v>4100251581</v>
      </c>
      <c r="D93">
        <v>6606775</v>
      </c>
      <c r="E93" t="s">
        <v>86</v>
      </c>
      <c r="F93" t="s">
        <v>17</v>
      </c>
      <c r="G93">
        <v>100</v>
      </c>
      <c r="H93">
        <v>429</v>
      </c>
      <c r="I93">
        <v>429</v>
      </c>
      <c r="J93" s="11">
        <f t="shared" si="12"/>
        <v>493.34999999999997</v>
      </c>
      <c r="K93" s="17">
        <f t="shared" si="13"/>
        <v>0</v>
      </c>
      <c r="L93" s="17">
        <f t="shared" si="11"/>
        <v>0</v>
      </c>
      <c r="M93" t="s">
        <v>83</v>
      </c>
      <c r="O93" s="15">
        <f t="shared" si="14"/>
        <v>429</v>
      </c>
      <c r="P93" s="1">
        <f t="shared" si="9"/>
        <v>0</v>
      </c>
      <c r="Q93">
        <f t="shared" si="10"/>
        <v>0</v>
      </c>
    </row>
    <row r="94" spans="3:17" x14ac:dyDescent="0.35">
      <c r="C94">
        <v>4100251581</v>
      </c>
      <c r="D94">
        <v>6606775</v>
      </c>
      <c r="E94" t="s">
        <v>86</v>
      </c>
      <c r="F94" t="s">
        <v>17</v>
      </c>
      <c r="G94">
        <v>100</v>
      </c>
      <c r="H94">
        <v>429</v>
      </c>
      <c r="I94">
        <v>429</v>
      </c>
      <c r="J94" s="11">
        <f t="shared" si="12"/>
        <v>493.34999999999997</v>
      </c>
      <c r="K94" s="17">
        <f t="shared" si="13"/>
        <v>0</v>
      </c>
      <c r="L94" s="17">
        <f t="shared" si="11"/>
        <v>0</v>
      </c>
      <c r="M94" t="s">
        <v>83</v>
      </c>
      <c r="O94" s="15">
        <f t="shared" si="14"/>
        <v>429</v>
      </c>
      <c r="P94" s="1">
        <f t="shared" si="9"/>
        <v>0</v>
      </c>
      <c r="Q94">
        <f t="shared" si="10"/>
        <v>0</v>
      </c>
    </row>
    <row r="95" spans="3:17" x14ac:dyDescent="0.35">
      <c r="C95">
        <v>4100251581</v>
      </c>
      <c r="D95">
        <v>6606775</v>
      </c>
      <c r="E95" t="s">
        <v>86</v>
      </c>
      <c r="F95" t="s">
        <v>17</v>
      </c>
      <c r="G95">
        <v>1120</v>
      </c>
      <c r="H95">
        <v>429</v>
      </c>
      <c r="I95">
        <v>429</v>
      </c>
      <c r="J95" s="11">
        <f t="shared" si="12"/>
        <v>493.34999999999997</v>
      </c>
      <c r="K95" s="17">
        <f t="shared" si="13"/>
        <v>0</v>
      </c>
      <c r="L95" s="17">
        <f t="shared" si="11"/>
        <v>0</v>
      </c>
      <c r="M95" t="s">
        <v>83</v>
      </c>
      <c r="O95" s="15">
        <f t="shared" si="14"/>
        <v>429</v>
      </c>
      <c r="P95" s="1">
        <f t="shared" si="9"/>
        <v>0</v>
      </c>
      <c r="Q95">
        <f t="shared" si="10"/>
        <v>0</v>
      </c>
    </row>
    <row r="96" spans="3:17" x14ac:dyDescent="0.35">
      <c r="C96">
        <v>4100251581</v>
      </c>
      <c r="D96">
        <v>6606776</v>
      </c>
      <c r="E96" t="s">
        <v>87</v>
      </c>
      <c r="F96" t="s">
        <v>17</v>
      </c>
      <c r="G96">
        <v>100</v>
      </c>
      <c r="H96">
        <v>276.25</v>
      </c>
      <c r="I96">
        <v>279</v>
      </c>
      <c r="J96" s="11">
        <f t="shared" si="12"/>
        <v>317.6875</v>
      </c>
      <c r="K96" s="17">
        <f t="shared" si="13"/>
        <v>2.75</v>
      </c>
      <c r="L96" s="17">
        <f t="shared" si="11"/>
        <v>275</v>
      </c>
      <c r="M96" t="s">
        <v>83</v>
      </c>
      <c r="O96" s="15">
        <f t="shared" si="14"/>
        <v>276.25</v>
      </c>
      <c r="P96" s="1">
        <f t="shared" si="9"/>
        <v>275</v>
      </c>
      <c r="Q96">
        <f t="shared" si="10"/>
        <v>0</v>
      </c>
    </row>
    <row r="97" spans="3:17" x14ac:dyDescent="0.35">
      <c r="C97">
        <v>4100251581</v>
      </c>
      <c r="D97">
        <v>6606776</v>
      </c>
      <c r="E97" t="s">
        <v>87</v>
      </c>
      <c r="F97" t="s">
        <v>17</v>
      </c>
      <c r="G97">
        <v>100</v>
      </c>
      <c r="H97">
        <v>276.25</v>
      </c>
      <c r="I97">
        <v>279</v>
      </c>
      <c r="J97" s="11">
        <f t="shared" si="12"/>
        <v>317.6875</v>
      </c>
      <c r="K97" s="17">
        <f t="shared" si="13"/>
        <v>2.75</v>
      </c>
      <c r="L97" s="17">
        <f t="shared" si="11"/>
        <v>275</v>
      </c>
      <c r="M97" t="s">
        <v>83</v>
      </c>
      <c r="O97" s="15">
        <f t="shared" si="14"/>
        <v>276.25</v>
      </c>
      <c r="P97" s="1">
        <f t="shared" si="9"/>
        <v>275</v>
      </c>
      <c r="Q97">
        <f t="shared" si="10"/>
        <v>0</v>
      </c>
    </row>
    <row r="98" spans="3:17" x14ac:dyDescent="0.35">
      <c r="C98">
        <v>4100251581</v>
      </c>
      <c r="D98">
        <v>6606776</v>
      </c>
      <c r="E98" t="s">
        <v>87</v>
      </c>
      <c r="F98" t="s">
        <v>17</v>
      </c>
      <c r="G98">
        <v>100</v>
      </c>
      <c r="H98">
        <v>276.25</v>
      </c>
      <c r="I98">
        <v>279</v>
      </c>
      <c r="J98" s="11">
        <f t="shared" si="12"/>
        <v>317.6875</v>
      </c>
      <c r="K98" s="17">
        <f t="shared" si="13"/>
        <v>2.75</v>
      </c>
      <c r="L98" s="17">
        <f t="shared" si="11"/>
        <v>275</v>
      </c>
      <c r="M98" t="s">
        <v>83</v>
      </c>
      <c r="O98" s="15">
        <f t="shared" si="14"/>
        <v>276.25</v>
      </c>
      <c r="P98" s="1">
        <f t="shared" si="9"/>
        <v>275</v>
      </c>
      <c r="Q98">
        <f t="shared" si="10"/>
        <v>0</v>
      </c>
    </row>
    <row r="99" spans="3:17" x14ac:dyDescent="0.35">
      <c r="C99">
        <v>4100251581</v>
      </c>
      <c r="D99">
        <v>6606776</v>
      </c>
      <c r="E99" t="s">
        <v>87</v>
      </c>
      <c r="F99" t="s">
        <v>17</v>
      </c>
      <c r="G99">
        <v>1120</v>
      </c>
      <c r="H99">
        <v>276.25</v>
      </c>
      <c r="I99">
        <v>279</v>
      </c>
      <c r="J99" s="11">
        <f t="shared" si="12"/>
        <v>317.6875</v>
      </c>
      <c r="K99" s="17">
        <f>I99-H99</f>
        <v>2.75</v>
      </c>
      <c r="L99" s="17">
        <f t="shared" si="11"/>
        <v>3080</v>
      </c>
      <c r="M99" t="s">
        <v>83</v>
      </c>
      <c r="O99" s="15">
        <f t="shared" si="14"/>
        <v>276.25</v>
      </c>
      <c r="P99" s="1">
        <f t="shared" si="9"/>
        <v>3080</v>
      </c>
      <c r="Q99">
        <f t="shared" si="10"/>
        <v>0</v>
      </c>
    </row>
    <row r="100" spans="3:17" x14ac:dyDescent="0.35">
      <c r="C100">
        <v>4100253107</v>
      </c>
      <c r="D100">
        <v>6602243</v>
      </c>
      <c r="E100" t="s">
        <v>88</v>
      </c>
      <c r="F100" t="s">
        <v>17</v>
      </c>
      <c r="G100">
        <v>100</v>
      </c>
      <c r="H100">
        <v>65</v>
      </c>
      <c r="I100">
        <v>66</v>
      </c>
      <c r="J100" s="11">
        <f t="shared" si="12"/>
        <v>74.75</v>
      </c>
      <c r="K100" s="17">
        <f>I100-H100</f>
        <v>1</v>
      </c>
      <c r="L100" s="17">
        <f t="shared" si="11"/>
        <v>100</v>
      </c>
      <c r="M100" t="s">
        <v>89</v>
      </c>
      <c r="O100" s="15">
        <f t="shared" si="14"/>
        <v>65</v>
      </c>
      <c r="P100" s="1">
        <f t="shared" si="9"/>
        <v>100</v>
      </c>
      <c r="Q100">
        <f t="shared" si="10"/>
        <v>0</v>
      </c>
    </row>
    <row r="101" spans="3:17" x14ac:dyDescent="0.35">
      <c r="C101">
        <v>4100253107</v>
      </c>
      <c r="D101">
        <v>6602235</v>
      </c>
      <c r="E101" t="s">
        <v>90</v>
      </c>
      <c r="F101" t="s">
        <v>17</v>
      </c>
      <c r="G101">
        <v>100</v>
      </c>
      <c r="H101">
        <v>55.25</v>
      </c>
      <c r="I101">
        <v>60</v>
      </c>
      <c r="J101" s="11">
        <f t="shared" si="12"/>
        <v>63.537499999999994</v>
      </c>
      <c r="K101" s="17">
        <f t="shared" ref="K101:K119" si="15">I101-H101</f>
        <v>4.75</v>
      </c>
      <c r="L101" s="17">
        <f t="shared" si="11"/>
        <v>475</v>
      </c>
      <c r="M101" t="s">
        <v>89</v>
      </c>
      <c r="O101" s="15">
        <f t="shared" si="14"/>
        <v>55.25</v>
      </c>
      <c r="P101" s="1">
        <f t="shared" si="9"/>
        <v>475</v>
      </c>
      <c r="Q101">
        <f t="shared" si="10"/>
        <v>0</v>
      </c>
    </row>
    <row r="102" spans="3:17" x14ac:dyDescent="0.35">
      <c r="C102">
        <v>4100253107</v>
      </c>
      <c r="D102">
        <v>6609646</v>
      </c>
      <c r="E102" t="s">
        <v>59</v>
      </c>
      <c r="F102" t="s">
        <v>17</v>
      </c>
      <c r="G102">
        <v>100</v>
      </c>
      <c r="H102">
        <v>50.7</v>
      </c>
      <c r="I102">
        <v>60</v>
      </c>
      <c r="J102" s="11">
        <f t="shared" si="12"/>
        <v>58.305</v>
      </c>
      <c r="K102" s="17">
        <f t="shared" si="15"/>
        <v>9.2999999999999972</v>
      </c>
      <c r="L102" s="17">
        <f t="shared" si="11"/>
        <v>929.99999999999977</v>
      </c>
      <c r="M102" t="s">
        <v>89</v>
      </c>
      <c r="O102" s="15">
        <f t="shared" si="14"/>
        <v>50.7</v>
      </c>
      <c r="P102" s="1">
        <f t="shared" si="9"/>
        <v>929.99999999999977</v>
      </c>
      <c r="Q102">
        <f t="shared" si="10"/>
        <v>0</v>
      </c>
    </row>
    <row r="103" spans="3:17" x14ac:dyDescent="0.35">
      <c r="C103">
        <v>4100253107</v>
      </c>
      <c r="D103">
        <v>6602934</v>
      </c>
      <c r="E103" t="s">
        <v>91</v>
      </c>
      <c r="F103" t="s">
        <v>17</v>
      </c>
      <c r="G103">
        <v>100</v>
      </c>
      <c r="H103">
        <v>46.8</v>
      </c>
      <c r="I103">
        <v>60</v>
      </c>
      <c r="J103" s="11">
        <f t="shared" si="12"/>
        <v>53.819999999999993</v>
      </c>
      <c r="K103" s="17">
        <f t="shared" si="15"/>
        <v>13.200000000000003</v>
      </c>
      <c r="L103" s="17">
        <f t="shared" si="11"/>
        <v>1320.0000000000002</v>
      </c>
      <c r="M103" t="s">
        <v>89</v>
      </c>
      <c r="O103" s="15">
        <f t="shared" si="14"/>
        <v>46.8</v>
      </c>
      <c r="P103" s="1">
        <f t="shared" si="9"/>
        <v>1320.0000000000002</v>
      </c>
      <c r="Q103">
        <f t="shared" si="10"/>
        <v>0</v>
      </c>
    </row>
    <row r="104" spans="3:17" x14ac:dyDescent="0.35">
      <c r="C104">
        <v>4100253107</v>
      </c>
      <c r="D104">
        <v>6603444</v>
      </c>
      <c r="E104" t="s">
        <v>46</v>
      </c>
      <c r="F104" t="s">
        <v>17</v>
      </c>
      <c r="G104">
        <v>100</v>
      </c>
      <c r="H104">
        <v>455</v>
      </c>
      <c r="I104">
        <v>603</v>
      </c>
      <c r="J104" s="11">
        <f t="shared" si="12"/>
        <v>523.25</v>
      </c>
      <c r="K104" s="17">
        <f t="shared" si="15"/>
        <v>148</v>
      </c>
      <c r="L104" s="17">
        <f t="shared" si="11"/>
        <v>14800</v>
      </c>
      <c r="M104" t="s">
        <v>89</v>
      </c>
      <c r="O104" s="15">
        <f t="shared" si="14"/>
        <v>455</v>
      </c>
      <c r="P104" s="1">
        <f t="shared" si="9"/>
        <v>14800</v>
      </c>
      <c r="Q104">
        <f t="shared" si="10"/>
        <v>0</v>
      </c>
    </row>
    <row r="105" spans="3:17" x14ac:dyDescent="0.35">
      <c r="C105">
        <v>4100253107</v>
      </c>
      <c r="D105">
        <v>6603443</v>
      </c>
      <c r="E105" t="s">
        <v>92</v>
      </c>
      <c r="F105" t="s">
        <v>17</v>
      </c>
      <c r="G105">
        <v>100</v>
      </c>
      <c r="H105">
        <v>422.5</v>
      </c>
      <c r="I105">
        <v>531</v>
      </c>
      <c r="J105" s="11">
        <f t="shared" si="12"/>
        <v>485.87499999999994</v>
      </c>
      <c r="K105" s="17">
        <f t="shared" si="15"/>
        <v>108.5</v>
      </c>
      <c r="L105" s="17">
        <f t="shared" si="11"/>
        <v>10850</v>
      </c>
      <c r="M105" t="s">
        <v>89</v>
      </c>
      <c r="O105" s="15">
        <f t="shared" si="14"/>
        <v>422.5</v>
      </c>
      <c r="P105" s="1">
        <f t="shared" si="9"/>
        <v>10850</v>
      </c>
      <c r="Q105">
        <f t="shared" si="10"/>
        <v>0</v>
      </c>
    </row>
    <row r="106" spans="3:17" x14ac:dyDescent="0.35">
      <c r="C106">
        <v>4100253107</v>
      </c>
      <c r="D106">
        <v>6621137</v>
      </c>
      <c r="E106" t="s">
        <v>93</v>
      </c>
      <c r="F106" t="s">
        <v>17</v>
      </c>
      <c r="G106">
        <v>100</v>
      </c>
      <c r="H106">
        <v>357.5</v>
      </c>
      <c r="I106">
        <v>438</v>
      </c>
      <c r="J106" s="11">
        <f t="shared" si="12"/>
        <v>411.12499999999994</v>
      </c>
      <c r="K106" s="17">
        <f t="shared" si="15"/>
        <v>80.5</v>
      </c>
      <c r="L106" s="17">
        <f t="shared" si="11"/>
        <v>8050</v>
      </c>
      <c r="M106" t="s">
        <v>89</v>
      </c>
      <c r="O106" s="15">
        <f t="shared" si="14"/>
        <v>357.5</v>
      </c>
      <c r="P106" s="1">
        <f t="shared" si="9"/>
        <v>8050</v>
      </c>
      <c r="Q106">
        <f t="shared" si="10"/>
        <v>0</v>
      </c>
    </row>
    <row r="107" spans="3:17" x14ac:dyDescent="0.35">
      <c r="C107">
        <v>4100253107</v>
      </c>
      <c r="D107">
        <v>6602951</v>
      </c>
      <c r="E107" t="s">
        <v>94</v>
      </c>
      <c r="F107" t="s">
        <v>17</v>
      </c>
      <c r="G107">
        <v>100</v>
      </c>
      <c r="H107">
        <v>338</v>
      </c>
      <c r="I107">
        <v>381</v>
      </c>
      <c r="J107" s="11">
        <f t="shared" si="12"/>
        <v>388.7</v>
      </c>
      <c r="K107" s="17">
        <f t="shared" si="15"/>
        <v>43</v>
      </c>
      <c r="L107" s="17">
        <f t="shared" si="11"/>
        <v>4300</v>
      </c>
      <c r="M107" t="s">
        <v>89</v>
      </c>
      <c r="O107" s="15">
        <f t="shared" si="14"/>
        <v>338</v>
      </c>
      <c r="P107" s="1">
        <f t="shared" si="9"/>
        <v>4300</v>
      </c>
      <c r="Q107">
        <f t="shared" si="10"/>
        <v>0</v>
      </c>
    </row>
    <row r="108" spans="3:17" x14ac:dyDescent="0.35">
      <c r="C108">
        <v>4100253858</v>
      </c>
      <c r="D108">
        <v>6621136</v>
      </c>
      <c r="E108" t="s">
        <v>95</v>
      </c>
      <c r="F108" t="s">
        <v>17</v>
      </c>
      <c r="G108">
        <v>100</v>
      </c>
      <c r="H108">
        <v>624</v>
      </c>
      <c r="I108">
        <v>1038</v>
      </c>
      <c r="J108" s="11">
        <f t="shared" si="12"/>
        <v>717.59999999999991</v>
      </c>
      <c r="K108" s="17">
        <f t="shared" si="15"/>
        <v>414</v>
      </c>
      <c r="L108" s="17">
        <f t="shared" si="11"/>
        <v>41400</v>
      </c>
      <c r="M108" t="s">
        <v>89</v>
      </c>
      <c r="O108" s="15">
        <f t="shared" si="14"/>
        <v>624</v>
      </c>
      <c r="P108" s="1">
        <f t="shared" si="9"/>
        <v>41400</v>
      </c>
      <c r="Q108">
        <f t="shared" si="10"/>
        <v>0</v>
      </c>
    </row>
    <row r="109" spans="3:17" x14ac:dyDescent="0.35">
      <c r="C109">
        <v>4100253858</v>
      </c>
      <c r="D109">
        <v>6604000</v>
      </c>
      <c r="E109" t="s">
        <v>52</v>
      </c>
      <c r="F109" t="s">
        <v>17</v>
      </c>
      <c r="G109">
        <v>100</v>
      </c>
      <c r="H109">
        <v>390</v>
      </c>
      <c r="I109">
        <v>630</v>
      </c>
      <c r="J109" s="11">
        <f t="shared" si="12"/>
        <v>448.49999999999994</v>
      </c>
      <c r="K109" s="17">
        <f t="shared" si="15"/>
        <v>240</v>
      </c>
      <c r="L109" s="17">
        <f t="shared" si="11"/>
        <v>24000</v>
      </c>
      <c r="M109" t="s">
        <v>89</v>
      </c>
      <c r="O109" s="15">
        <f t="shared" si="14"/>
        <v>390</v>
      </c>
      <c r="P109" s="1">
        <f t="shared" si="9"/>
        <v>24000</v>
      </c>
      <c r="Q109">
        <f t="shared" si="10"/>
        <v>0</v>
      </c>
    </row>
    <row r="110" spans="3:17" x14ac:dyDescent="0.35">
      <c r="C110">
        <v>4100253858</v>
      </c>
      <c r="D110">
        <v>6604001</v>
      </c>
      <c r="E110" t="s">
        <v>53</v>
      </c>
      <c r="F110" t="s">
        <v>17</v>
      </c>
      <c r="G110">
        <v>100</v>
      </c>
      <c r="H110">
        <v>507</v>
      </c>
      <c r="I110">
        <v>609</v>
      </c>
      <c r="J110" s="11">
        <f t="shared" si="12"/>
        <v>583.04999999999995</v>
      </c>
      <c r="K110" s="17">
        <f t="shared" si="15"/>
        <v>102</v>
      </c>
      <c r="L110" s="17">
        <f t="shared" si="11"/>
        <v>10200</v>
      </c>
      <c r="M110" t="s">
        <v>89</v>
      </c>
      <c r="O110" s="15">
        <f t="shared" si="14"/>
        <v>507</v>
      </c>
      <c r="P110" s="1">
        <f t="shared" si="9"/>
        <v>10200</v>
      </c>
      <c r="Q110">
        <f t="shared" si="10"/>
        <v>0</v>
      </c>
    </row>
    <row r="111" spans="3:17" x14ac:dyDescent="0.35">
      <c r="C111">
        <v>4100253858</v>
      </c>
      <c r="D111">
        <v>6604009</v>
      </c>
      <c r="E111" t="s">
        <v>58</v>
      </c>
      <c r="F111" t="s">
        <v>17</v>
      </c>
      <c r="G111">
        <v>100</v>
      </c>
      <c r="H111">
        <v>377</v>
      </c>
      <c r="I111">
        <v>600</v>
      </c>
      <c r="J111" s="11">
        <f t="shared" si="12"/>
        <v>433.54999999999995</v>
      </c>
      <c r="K111" s="17">
        <f t="shared" si="15"/>
        <v>223</v>
      </c>
      <c r="L111" s="17">
        <f t="shared" si="11"/>
        <v>22300</v>
      </c>
      <c r="M111" t="s">
        <v>89</v>
      </c>
      <c r="O111" s="15">
        <f t="shared" si="14"/>
        <v>377</v>
      </c>
      <c r="P111" s="1">
        <f t="shared" si="9"/>
        <v>22300</v>
      </c>
      <c r="Q111">
        <f t="shared" si="10"/>
        <v>0</v>
      </c>
    </row>
    <row r="112" spans="3:17" x14ac:dyDescent="0.35">
      <c r="C112">
        <v>4100253858</v>
      </c>
      <c r="D112">
        <v>6604006</v>
      </c>
      <c r="E112" t="s">
        <v>56</v>
      </c>
      <c r="F112" t="s">
        <v>17</v>
      </c>
      <c r="G112">
        <v>100</v>
      </c>
      <c r="H112">
        <v>357.5</v>
      </c>
      <c r="I112">
        <v>612</v>
      </c>
      <c r="J112" s="11">
        <f t="shared" si="12"/>
        <v>411.12499999999994</v>
      </c>
      <c r="K112" s="17">
        <f t="shared" si="15"/>
        <v>254.5</v>
      </c>
      <c r="L112" s="17">
        <f t="shared" si="11"/>
        <v>25450</v>
      </c>
      <c r="M112" t="s">
        <v>89</v>
      </c>
      <c r="O112" s="15">
        <f t="shared" si="14"/>
        <v>357.5</v>
      </c>
      <c r="P112" s="1">
        <f t="shared" si="9"/>
        <v>25450</v>
      </c>
      <c r="Q112">
        <f t="shared" si="10"/>
        <v>0</v>
      </c>
    </row>
    <row r="113" spans="3:17" x14ac:dyDescent="0.35">
      <c r="C113">
        <v>4100253858</v>
      </c>
      <c r="D113">
        <v>6604003</v>
      </c>
      <c r="E113" t="s">
        <v>54</v>
      </c>
      <c r="F113" t="s">
        <v>17</v>
      </c>
      <c r="G113">
        <v>100</v>
      </c>
      <c r="H113">
        <v>357.5</v>
      </c>
      <c r="I113">
        <v>573</v>
      </c>
      <c r="J113" s="11">
        <f t="shared" si="12"/>
        <v>411.12499999999994</v>
      </c>
      <c r="K113" s="17">
        <f t="shared" si="15"/>
        <v>215.5</v>
      </c>
      <c r="L113" s="17">
        <f t="shared" si="11"/>
        <v>21550</v>
      </c>
      <c r="M113" t="s">
        <v>89</v>
      </c>
      <c r="O113" s="15">
        <f t="shared" si="14"/>
        <v>357.5</v>
      </c>
      <c r="P113" s="1">
        <f t="shared" si="9"/>
        <v>21550</v>
      </c>
      <c r="Q113">
        <f t="shared" si="10"/>
        <v>0</v>
      </c>
    </row>
    <row r="114" spans="3:17" x14ac:dyDescent="0.35">
      <c r="C114">
        <v>4100253858</v>
      </c>
      <c r="D114">
        <v>6619805</v>
      </c>
      <c r="E114" t="s">
        <v>96</v>
      </c>
      <c r="F114" t="s">
        <v>17</v>
      </c>
      <c r="G114">
        <v>100</v>
      </c>
      <c r="H114">
        <v>422.5</v>
      </c>
      <c r="I114">
        <v>705</v>
      </c>
      <c r="J114" s="11">
        <f t="shared" si="12"/>
        <v>485.87499999999994</v>
      </c>
      <c r="K114" s="17">
        <f t="shared" si="15"/>
        <v>282.5</v>
      </c>
      <c r="L114" s="17">
        <f t="shared" si="11"/>
        <v>28250</v>
      </c>
      <c r="M114" t="s">
        <v>89</v>
      </c>
      <c r="O114" s="15">
        <f t="shared" si="14"/>
        <v>422.5</v>
      </c>
      <c r="P114" s="1">
        <f t="shared" si="9"/>
        <v>28250</v>
      </c>
      <c r="Q114">
        <f t="shared" si="10"/>
        <v>0</v>
      </c>
    </row>
    <row r="115" spans="3:17" x14ac:dyDescent="0.35">
      <c r="C115">
        <v>4100253858</v>
      </c>
      <c r="D115">
        <v>6604005</v>
      </c>
      <c r="E115" t="s">
        <v>97</v>
      </c>
      <c r="F115" t="s">
        <v>17</v>
      </c>
      <c r="G115">
        <v>100</v>
      </c>
      <c r="H115">
        <v>1820</v>
      </c>
      <c r="I115">
        <v>2202</v>
      </c>
      <c r="J115" s="11">
        <f t="shared" si="12"/>
        <v>2093</v>
      </c>
      <c r="K115" s="17">
        <f t="shared" si="15"/>
        <v>382</v>
      </c>
      <c r="L115" s="17">
        <f t="shared" si="11"/>
        <v>38200</v>
      </c>
      <c r="M115" t="s">
        <v>89</v>
      </c>
      <c r="O115" s="15">
        <f t="shared" si="14"/>
        <v>1820</v>
      </c>
      <c r="P115" s="1">
        <f t="shared" si="9"/>
        <v>38200</v>
      </c>
      <c r="Q115">
        <f t="shared" si="10"/>
        <v>0</v>
      </c>
    </row>
    <row r="116" spans="3:17" x14ac:dyDescent="0.35">
      <c r="C116">
        <v>4100253858</v>
      </c>
      <c r="D116">
        <v>6604002</v>
      </c>
      <c r="E116" t="s">
        <v>73</v>
      </c>
      <c r="F116" t="s">
        <v>17</v>
      </c>
      <c r="G116">
        <v>100</v>
      </c>
      <c r="H116">
        <v>916.5</v>
      </c>
      <c r="I116">
        <v>1440</v>
      </c>
      <c r="J116" s="11">
        <f t="shared" si="12"/>
        <v>1053.9749999999999</v>
      </c>
      <c r="K116" s="17">
        <f t="shared" si="15"/>
        <v>523.5</v>
      </c>
      <c r="L116" s="17">
        <f t="shared" si="11"/>
        <v>52350</v>
      </c>
      <c r="M116" t="s">
        <v>89</v>
      </c>
      <c r="O116" s="15">
        <f t="shared" si="14"/>
        <v>916.5</v>
      </c>
      <c r="P116" s="1">
        <f t="shared" si="9"/>
        <v>52350</v>
      </c>
      <c r="Q116">
        <f t="shared" si="10"/>
        <v>0</v>
      </c>
    </row>
    <row r="117" spans="3:17" x14ac:dyDescent="0.35">
      <c r="C117">
        <v>4100253858</v>
      </c>
      <c r="D117">
        <v>6613521</v>
      </c>
      <c r="E117" t="s">
        <v>98</v>
      </c>
      <c r="F117" t="s">
        <v>17</v>
      </c>
      <c r="G117">
        <v>100</v>
      </c>
      <c r="H117">
        <v>1163.5</v>
      </c>
      <c r="I117">
        <v>1416</v>
      </c>
      <c r="J117" s="11">
        <f t="shared" si="12"/>
        <v>1338.0249999999999</v>
      </c>
      <c r="K117" s="17">
        <f t="shared" si="15"/>
        <v>252.5</v>
      </c>
      <c r="L117" s="17">
        <f t="shared" si="11"/>
        <v>25250</v>
      </c>
      <c r="M117" t="s">
        <v>89</v>
      </c>
      <c r="O117" s="15">
        <f t="shared" si="14"/>
        <v>1163.5</v>
      </c>
      <c r="P117" s="1">
        <f t="shared" si="9"/>
        <v>25250</v>
      </c>
      <c r="Q117">
        <f t="shared" si="10"/>
        <v>0</v>
      </c>
    </row>
    <row r="118" spans="3:17" x14ac:dyDescent="0.35">
      <c r="C118">
        <v>4100253860</v>
      </c>
      <c r="D118">
        <v>6603997</v>
      </c>
      <c r="E118" t="s">
        <v>50</v>
      </c>
      <c r="F118" t="s">
        <v>17</v>
      </c>
      <c r="G118">
        <v>100</v>
      </c>
      <c r="H118">
        <v>851.5</v>
      </c>
      <c r="I118">
        <v>933</v>
      </c>
      <c r="J118" s="11">
        <f t="shared" si="12"/>
        <v>979.22499999999991</v>
      </c>
      <c r="K118" s="17">
        <f t="shared" si="15"/>
        <v>81.5</v>
      </c>
      <c r="L118" s="17">
        <f t="shared" si="11"/>
        <v>8150</v>
      </c>
      <c r="M118" t="s">
        <v>89</v>
      </c>
      <c r="O118" s="15">
        <f t="shared" si="14"/>
        <v>851.5</v>
      </c>
      <c r="P118" s="1">
        <f t="shared" si="9"/>
        <v>8150</v>
      </c>
      <c r="Q118">
        <f t="shared" si="10"/>
        <v>0</v>
      </c>
    </row>
    <row r="119" spans="3:17" x14ac:dyDescent="0.35">
      <c r="C119">
        <v>4100265146</v>
      </c>
      <c r="D119">
        <v>6600979</v>
      </c>
      <c r="E119" t="s">
        <v>99</v>
      </c>
      <c r="F119" t="s">
        <v>17</v>
      </c>
      <c r="G119">
        <v>100</v>
      </c>
      <c r="H119">
        <f>I119*75%</f>
        <v>900.24</v>
      </c>
      <c r="I119">
        <v>1200.32</v>
      </c>
      <c r="J119" s="11">
        <f t="shared" si="12"/>
        <v>1035.2759999999998</v>
      </c>
      <c r="M119" t="s">
        <v>37</v>
      </c>
      <c r="O119" s="15">
        <f>I119</f>
        <v>1200.32</v>
      </c>
      <c r="P119" s="1">
        <f t="shared" si="9"/>
        <v>0</v>
      </c>
      <c r="Q119">
        <f t="shared" si="10"/>
        <v>30007.999999999993</v>
      </c>
    </row>
    <row r="120" spans="3:17" x14ac:dyDescent="0.35">
      <c r="C120">
        <v>4100247946</v>
      </c>
      <c r="D120">
        <v>6605177</v>
      </c>
      <c r="E120" t="s">
        <v>100</v>
      </c>
      <c r="F120" t="s">
        <v>17</v>
      </c>
      <c r="G120">
        <v>100</v>
      </c>
      <c r="H120">
        <f t="shared" ref="H120:H168" si="16">I120*75%</f>
        <v>603.90000000000009</v>
      </c>
      <c r="I120">
        <v>805.2</v>
      </c>
      <c r="J120" s="11">
        <f t="shared" si="12"/>
        <v>694.48500000000001</v>
      </c>
      <c r="M120" t="s">
        <v>37</v>
      </c>
      <c r="O120" s="15">
        <f t="shared" ref="O120:O168" si="17">I120</f>
        <v>805.2</v>
      </c>
      <c r="P120" s="1">
        <f t="shared" si="9"/>
        <v>0</v>
      </c>
      <c r="Q120">
        <f t="shared" si="10"/>
        <v>20129.999999999996</v>
      </c>
    </row>
    <row r="121" spans="3:17" x14ac:dyDescent="0.35">
      <c r="C121">
        <v>4100249088</v>
      </c>
      <c r="D121">
        <v>6605177</v>
      </c>
      <c r="E121" t="s">
        <v>100</v>
      </c>
      <c r="F121" t="s">
        <v>17</v>
      </c>
      <c r="G121">
        <v>100</v>
      </c>
      <c r="H121">
        <f t="shared" si="16"/>
        <v>603.90000000000009</v>
      </c>
      <c r="I121">
        <v>805.2</v>
      </c>
      <c r="J121" s="11">
        <f t="shared" si="12"/>
        <v>694.48500000000001</v>
      </c>
      <c r="M121" t="s">
        <v>37</v>
      </c>
      <c r="O121" s="15">
        <f t="shared" si="17"/>
        <v>805.2</v>
      </c>
      <c r="P121" s="1">
        <f t="shared" si="9"/>
        <v>0</v>
      </c>
      <c r="Q121">
        <f t="shared" si="10"/>
        <v>20129.999999999996</v>
      </c>
    </row>
    <row r="122" spans="3:17" x14ac:dyDescent="0.35">
      <c r="C122">
        <v>4100251983</v>
      </c>
      <c r="D122">
        <v>6605177</v>
      </c>
      <c r="E122" t="s">
        <v>100</v>
      </c>
      <c r="F122" t="s">
        <v>17</v>
      </c>
      <c r="G122">
        <v>100</v>
      </c>
      <c r="H122">
        <f t="shared" si="16"/>
        <v>603.90000000000009</v>
      </c>
      <c r="I122">
        <v>805.2</v>
      </c>
      <c r="J122" s="11">
        <f t="shared" si="12"/>
        <v>694.48500000000001</v>
      </c>
      <c r="M122" t="s">
        <v>37</v>
      </c>
      <c r="O122" s="15">
        <f t="shared" si="17"/>
        <v>805.2</v>
      </c>
      <c r="P122" s="1">
        <f t="shared" si="9"/>
        <v>0</v>
      </c>
      <c r="Q122">
        <f t="shared" si="10"/>
        <v>20129.999999999996</v>
      </c>
    </row>
    <row r="123" spans="3:17" x14ac:dyDescent="0.35">
      <c r="C123">
        <v>4100254328</v>
      </c>
      <c r="D123">
        <v>6605177</v>
      </c>
      <c r="E123" t="s">
        <v>100</v>
      </c>
      <c r="F123" t="s">
        <v>17</v>
      </c>
      <c r="G123">
        <v>100</v>
      </c>
      <c r="H123">
        <f t="shared" si="16"/>
        <v>603.90000000000009</v>
      </c>
      <c r="I123">
        <v>805.2</v>
      </c>
      <c r="J123" s="11">
        <f t="shared" si="12"/>
        <v>694.48500000000001</v>
      </c>
      <c r="M123" t="s">
        <v>37</v>
      </c>
      <c r="O123" s="15">
        <f t="shared" si="17"/>
        <v>805.2</v>
      </c>
      <c r="P123" s="1">
        <f t="shared" si="9"/>
        <v>0</v>
      </c>
      <c r="Q123">
        <f t="shared" si="10"/>
        <v>20129.999999999996</v>
      </c>
    </row>
    <row r="124" spans="3:17" x14ac:dyDescent="0.35">
      <c r="C124">
        <v>4100256133</v>
      </c>
      <c r="D124">
        <v>6605177</v>
      </c>
      <c r="E124" t="s">
        <v>100</v>
      </c>
      <c r="F124" t="s">
        <v>17</v>
      </c>
      <c r="G124">
        <v>100</v>
      </c>
      <c r="H124">
        <f t="shared" si="16"/>
        <v>549</v>
      </c>
      <c r="I124">
        <v>732</v>
      </c>
      <c r="J124" s="11">
        <f t="shared" si="12"/>
        <v>631.34999999999991</v>
      </c>
      <c r="M124" t="s">
        <v>37</v>
      </c>
      <c r="O124" s="15">
        <f t="shared" si="17"/>
        <v>732</v>
      </c>
      <c r="P124" s="1">
        <f t="shared" si="9"/>
        <v>0</v>
      </c>
      <c r="Q124">
        <f t="shared" si="10"/>
        <v>18300</v>
      </c>
    </row>
    <row r="125" spans="3:17" x14ac:dyDescent="0.35">
      <c r="C125">
        <v>4100258757</v>
      </c>
      <c r="D125">
        <v>6605177</v>
      </c>
      <c r="E125" t="s">
        <v>100</v>
      </c>
      <c r="F125" t="s">
        <v>17</v>
      </c>
      <c r="G125">
        <v>100</v>
      </c>
      <c r="H125">
        <f t="shared" si="16"/>
        <v>549</v>
      </c>
      <c r="I125">
        <v>732</v>
      </c>
      <c r="J125" s="11">
        <f t="shared" si="12"/>
        <v>631.34999999999991</v>
      </c>
      <c r="M125" t="s">
        <v>37</v>
      </c>
      <c r="O125" s="15">
        <f t="shared" si="17"/>
        <v>732</v>
      </c>
      <c r="P125" s="1">
        <f t="shared" si="9"/>
        <v>0</v>
      </c>
      <c r="Q125">
        <f t="shared" si="10"/>
        <v>18300</v>
      </c>
    </row>
    <row r="126" spans="3:17" x14ac:dyDescent="0.35">
      <c r="C126">
        <v>4100260661</v>
      </c>
      <c r="D126">
        <v>6605177</v>
      </c>
      <c r="E126" t="s">
        <v>100</v>
      </c>
      <c r="F126" t="s">
        <v>17</v>
      </c>
      <c r="G126">
        <v>100</v>
      </c>
      <c r="H126">
        <f t="shared" si="16"/>
        <v>603.90000000000009</v>
      </c>
      <c r="I126">
        <v>805.2</v>
      </c>
      <c r="J126" s="11">
        <f t="shared" si="12"/>
        <v>694.48500000000001</v>
      </c>
      <c r="M126" t="s">
        <v>37</v>
      </c>
      <c r="O126" s="15">
        <f t="shared" si="17"/>
        <v>805.2</v>
      </c>
      <c r="P126" s="1">
        <f t="shared" si="9"/>
        <v>0</v>
      </c>
      <c r="Q126">
        <f t="shared" si="10"/>
        <v>20129.999999999996</v>
      </c>
    </row>
    <row r="127" spans="3:17" x14ac:dyDescent="0.35">
      <c r="C127">
        <v>4100262404</v>
      </c>
      <c r="D127">
        <v>6605177</v>
      </c>
      <c r="E127" t="s">
        <v>100</v>
      </c>
      <c r="F127" t="s">
        <v>17</v>
      </c>
      <c r="G127">
        <v>100</v>
      </c>
      <c r="H127">
        <f t="shared" si="16"/>
        <v>603.90000000000009</v>
      </c>
      <c r="I127">
        <v>805.2</v>
      </c>
      <c r="J127" s="11">
        <f t="shared" si="12"/>
        <v>694.48500000000001</v>
      </c>
      <c r="M127" t="s">
        <v>37</v>
      </c>
      <c r="O127" s="15">
        <f t="shared" si="17"/>
        <v>805.2</v>
      </c>
      <c r="P127" s="1">
        <f t="shared" si="9"/>
        <v>0</v>
      </c>
      <c r="Q127">
        <f t="shared" si="10"/>
        <v>20129.999999999996</v>
      </c>
    </row>
    <row r="128" spans="3:17" x14ac:dyDescent="0.35">
      <c r="C128">
        <v>4100264893</v>
      </c>
      <c r="D128">
        <v>6605177</v>
      </c>
      <c r="E128" t="s">
        <v>100</v>
      </c>
      <c r="F128" t="s">
        <v>17</v>
      </c>
      <c r="G128">
        <v>100</v>
      </c>
      <c r="H128">
        <f t="shared" si="16"/>
        <v>603.90000000000009</v>
      </c>
      <c r="I128">
        <v>805.2</v>
      </c>
      <c r="J128" s="11">
        <f t="shared" si="12"/>
        <v>694.48500000000001</v>
      </c>
      <c r="M128" t="s">
        <v>37</v>
      </c>
      <c r="O128" s="15">
        <f t="shared" si="17"/>
        <v>805.2</v>
      </c>
      <c r="P128" s="1">
        <f t="shared" si="9"/>
        <v>0</v>
      </c>
      <c r="Q128">
        <f t="shared" si="10"/>
        <v>20129.999999999996</v>
      </c>
    </row>
    <row r="129" spans="3:17" x14ac:dyDescent="0.35">
      <c r="C129">
        <v>4100261601</v>
      </c>
      <c r="D129">
        <v>6602506</v>
      </c>
      <c r="E129" t="s">
        <v>101</v>
      </c>
      <c r="F129" t="s">
        <v>17</v>
      </c>
      <c r="G129">
        <v>100</v>
      </c>
      <c r="H129">
        <f t="shared" si="16"/>
        <v>81</v>
      </c>
      <c r="I129">
        <v>108</v>
      </c>
      <c r="J129" s="11">
        <f t="shared" si="12"/>
        <v>93.149999999999991</v>
      </c>
      <c r="M129" t="s">
        <v>18</v>
      </c>
      <c r="O129" s="15">
        <f t="shared" si="17"/>
        <v>108</v>
      </c>
      <c r="P129" s="1">
        <f t="shared" si="9"/>
        <v>0</v>
      </c>
      <c r="Q129">
        <f t="shared" si="10"/>
        <v>2700</v>
      </c>
    </row>
    <row r="130" spans="3:17" x14ac:dyDescent="0.35">
      <c r="C130">
        <v>4100253464</v>
      </c>
      <c r="D130">
        <v>6602837</v>
      </c>
      <c r="E130" t="s">
        <v>102</v>
      </c>
      <c r="F130" t="s">
        <v>17</v>
      </c>
      <c r="G130">
        <v>100</v>
      </c>
      <c r="H130">
        <f t="shared" si="16"/>
        <v>508.5</v>
      </c>
      <c r="I130">
        <v>678</v>
      </c>
      <c r="J130" s="11">
        <f t="shared" si="12"/>
        <v>584.77499999999998</v>
      </c>
      <c r="M130" t="s">
        <v>18</v>
      </c>
      <c r="O130" s="15">
        <f t="shared" si="17"/>
        <v>678</v>
      </c>
      <c r="P130" s="1">
        <f t="shared" si="9"/>
        <v>0</v>
      </c>
      <c r="Q130">
        <f t="shared" si="10"/>
        <v>16950</v>
      </c>
    </row>
    <row r="131" spans="3:17" x14ac:dyDescent="0.35">
      <c r="C131">
        <v>4100253464</v>
      </c>
      <c r="D131">
        <v>6602838</v>
      </c>
      <c r="E131" t="s">
        <v>103</v>
      </c>
      <c r="F131" t="s">
        <v>17</v>
      </c>
      <c r="G131">
        <v>100</v>
      </c>
      <c r="H131">
        <f t="shared" si="16"/>
        <v>1030.5</v>
      </c>
      <c r="I131">
        <v>1374</v>
      </c>
      <c r="J131" s="11">
        <f t="shared" si="12"/>
        <v>1185.0749999999998</v>
      </c>
      <c r="M131" t="s">
        <v>18</v>
      </c>
      <c r="O131" s="15">
        <f t="shared" si="17"/>
        <v>1374</v>
      </c>
      <c r="P131" s="1">
        <f t="shared" si="9"/>
        <v>0</v>
      </c>
      <c r="Q131">
        <f t="shared" si="10"/>
        <v>34350</v>
      </c>
    </row>
    <row r="132" spans="3:17" x14ac:dyDescent="0.35">
      <c r="C132">
        <v>4100253243</v>
      </c>
      <c r="D132">
        <v>6602929</v>
      </c>
      <c r="E132" t="s">
        <v>104</v>
      </c>
      <c r="F132" t="s">
        <v>17</v>
      </c>
      <c r="G132">
        <v>100</v>
      </c>
      <c r="H132">
        <f t="shared" si="16"/>
        <v>164.25</v>
      </c>
      <c r="I132">
        <v>219</v>
      </c>
      <c r="J132" s="11">
        <f t="shared" si="12"/>
        <v>188.88749999999999</v>
      </c>
      <c r="M132" t="s">
        <v>18</v>
      </c>
      <c r="O132" s="15">
        <f t="shared" si="17"/>
        <v>219</v>
      </c>
      <c r="P132" s="1">
        <f t="shared" ref="P132:P168" si="18">(I132-O132)*G132</f>
        <v>0</v>
      </c>
      <c r="Q132">
        <f t="shared" ref="Q132:Q168" si="19">IF(O132=MIN(H132:J132),"0",O132-MIN(H132:J132))*G132</f>
        <v>5475</v>
      </c>
    </row>
    <row r="133" spans="3:17" x14ac:dyDescent="0.35">
      <c r="C133">
        <v>4100260183</v>
      </c>
      <c r="D133">
        <v>6602929</v>
      </c>
      <c r="E133" t="s">
        <v>104</v>
      </c>
      <c r="F133" t="s">
        <v>17</v>
      </c>
      <c r="G133">
        <v>100</v>
      </c>
      <c r="H133">
        <f t="shared" si="16"/>
        <v>164.25</v>
      </c>
      <c r="I133">
        <v>219</v>
      </c>
      <c r="J133" s="11">
        <f t="shared" si="12"/>
        <v>188.88749999999999</v>
      </c>
      <c r="M133" t="s">
        <v>18</v>
      </c>
      <c r="O133" s="15">
        <f t="shared" si="17"/>
        <v>219</v>
      </c>
      <c r="P133" s="1">
        <f t="shared" si="18"/>
        <v>0</v>
      </c>
      <c r="Q133">
        <f t="shared" si="19"/>
        <v>5475</v>
      </c>
    </row>
    <row r="134" spans="3:17" x14ac:dyDescent="0.35">
      <c r="C134">
        <v>4100262149</v>
      </c>
      <c r="D134">
        <v>6602948</v>
      </c>
      <c r="E134" t="s">
        <v>61</v>
      </c>
      <c r="F134" t="s">
        <v>17</v>
      </c>
      <c r="G134">
        <v>100</v>
      </c>
      <c r="H134">
        <f t="shared" si="16"/>
        <v>67.5</v>
      </c>
      <c r="I134">
        <v>90</v>
      </c>
      <c r="J134" s="11">
        <f t="shared" si="12"/>
        <v>77.625</v>
      </c>
      <c r="M134" t="s">
        <v>18</v>
      </c>
      <c r="O134" s="15">
        <f t="shared" si="17"/>
        <v>90</v>
      </c>
      <c r="P134" s="1">
        <f t="shared" si="18"/>
        <v>0</v>
      </c>
      <c r="Q134">
        <f t="shared" si="19"/>
        <v>2250</v>
      </c>
    </row>
    <row r="135" spans="3:17" x14ac:dyDescent="0.35">
      <c r="C135">
        <v>4100264648</v>
      </c>
      <c r="D135">
        <v>6603994</v>
      </c>
      <c r="E135" t="s">
        <v>105</v>
      </c>
      <c r="F135" t="s">
        <v>17</v>
      </c>
      <c r="G135">
        <v>100</v>
      </c>
      <c r="H135">
        <f t="shared" si="16"/>
        <v>891</v>
      </c>
      <c r="I135">
        <v>1188</v>
      </c>
      <c r="J135" s="11">
        <f t="shared" si="12"/>
        <v>1024.6499999999999</v>
      </c>
      <c r="M135" t="s">
        <v>18</v>
      </c>
      <c r="O135" s="15">
        <f t="shared" si="17"/>
        <v>1188</v>
      </c>
      <c r="P135" s="1">
        <f t="shared" si="18"/>
        <v>0</v>
      </c>
      <c r="Q135">
        <f t="shared" si="19"/>
        <v>29700</v>
      </c>
    </row>
    <row r="136" spans="3:17" x14ac:dyDescent="0.35">
      <c r="C136">
        <v>4100257252</v>
      </c>
      <c r="D136">
        <v>6603996</v>
      </c>
      <c r="E136" t="s">
        <v>49</v>
      </c>
      <c r="F136" t="s">
        <v>17</v>
      </c>
      <c r="G136">
        <v>100</v>
      </c>
      <c r="H136">
        <f t="shared" si="16"/>
        <v>697.5</v>
      </c>
      <c r="I136">
        <v>930</v>
      </c>
      <c r="J136" s="11">
        <f t="shared" si="12"/>
        <v>802.12499999999989</v>
      </c>
      <c r="M136" t="s">
        <v>18</v>
      </c>
      <c r="O136" s="15">
        <f t="shared" si="17"/>
        <v>930</v>
      </c>
      <c r="P136" s="1">
        <f t="shared" si="18"/>
        <v>0</v>
      </c>
      <c r="Q136">
        <f t="shared" si="19"/>
        <v>23250</v>
      </c>
    </row>
    <row r="137" spans="3:17" x14ac:dyDescent="0.35">
      <c r="C137">
        <v>4100264648</v>
      </c>
      <c r="D137">
        <v>6603996</v>
      </c>
      <c r="E137" t="s">
        <v>49</v>
      </c>
      <c r="F137" t="s">
        <v>17</v>
      </c>
      <c r="G137">
        <v>100</v>
      </c>
      <c r="H137">
        <f t="shared" si="16"/>
        <v>697.5</v>
      </c>
      <c r="I137">
        <v>930</v>
      </c>
      <c r="J137" s="11">
        <f t="shared" si="12"/>
        <v>802.12499999999989</v>
      </c>
      <c r="M137" t="s">
        <v>18</v>
      </c>
      <c r="O137" s="15">
        <f t="shared" si="17"/>
        <v>930</v>
      </c>
      <c r="P137" s="1">
        <f t="shared" si="18"/>
        <v>0</v>
      </c>
      <c r="Q137">
        <f t="shared" si="19"/>
        <v>23250</v>
      </c>
    </row>
    <row r="138" spans="3:17" x14ac:dyDescent="0.35">
      <c r="C138">
        <v>4100254765</v>
      </c>
      <c r="D138">
        <v>6603997</v>
      </c>
      <c r="E138" t="s">
        <v>50</v>
      </c>
      <c r="F138" t="s">
        <v>17</v>
      </c>
      <c r="G138">
        <v>100</v>
      </c>
      <c r="H138">
        <f t="shared" si="16"/>
        <v>778.5</v>
      </c>
      <c r="I138">
        <v>1038</v>
      </c>
      <c r="J138" s="11">
        <f t="shared" si="12"/>
        <v>895.27499999999998</v>
      </c>
      <c r="M138" t="s">
        <v>18</v>
      </c>
      <c r="O138" s="15">
        <f t="shared" si="17"/>
        <v>1038</v>
      </c>
      <c r="P138" s="1">
        <f t="shared" si="18"/>
        <v>0</v>
      </c>
      <c r="Q138">
        <f t="shared" si="19"/>
        <v>25950</v>
      </c>
    </row>
    <row r="139" spans="3:17" x14ac:dyDescent="0.35">
      <c r="C139">
        <v>4100264648</v>
      </c>
      <c r="D139">
        <v>6603997</v>
      </c>
      <c r="E139" t="s">
        <v>50</v>
      </c>
      <c r="F139" t="s">
        <v>17</v>
      </c>
      <c r="G139">
        <v>100</v>
      </c>
      <c r="H139">
        <f t="shared" si="16"/>
        <v>778.5</v>
      </c>
      <c r="I139">
        <v>1038</v>
      </c>
      <c r="J139" s="11">
        <f t="shared" si="12"/>
        <v>895.27499999999998</v>
      </c>
      <c r="M139" t="s">
        <v>18</v>
      </c>
      <c r="O139" s="15">
        <f t="shared" si="17"/>
        <v>1038</v>
      </c>
      <c r="P139" s="1">
        <f t="shared" si="18"/>
        <v>0</v>
      </c>
      <c r="Q139">
        <f t="shared" si="19"/>
        <v>25950</v>
      </c>
    </row>
    <row r="140" spans="3:17" x14ac:dyDescent="0.35">
      <c r="C140">
        <v>4100253753</v>
      </c>
      <c r="D140">
        <v>6603998</v>
      </c>
      <c r="E140" t="s">
        <v>51</v>
      </c>
      <c r="F140" t="s">
        <v>17</v>
      </c>
      <c r="G140">
        <v>100</v>
      </c>
      <c r="H140">
        <f t="shared" si="16"/>
        <v>434.25</v>
      </c>
      <c r="I140">
        <v>579</v>
      </c>
      <c r="J140" s="11">
        <f t="shared" si="12"/>
        <v>499.38749999999999</v>
      </c>
      <c r="M140" t="s">
        <v>18</v>
      </c>
      <c r="O140" s="15">
        <f t="shared" si="17"/>
        <v>579</v>
      </c>
      <c r="P140" s="1">
        <f t="shared" si="18"/>
        <v>0</v>
      </c>
      <c r="Q140">
        <f t="shared" si="19"/>
        <v>14475</v>
      </c>
    </row>
    <row r="141" spans="3:17" x14ac:dyDescent="0.35">
      <c r="C141">
        <v>4100253753</v>
      </c>
      <c r="D141">
        <v>6604000</v>
      </c>
      <c r="E141" t="s">
        <v>52</v>
      </c>
      <c r="F141" t="s">
        <v>17</v>
      </c>
      <c r="G141">
        <v>100</v>
      </c>
      <c r="H141">
        <f t="shared" si="16"/>
        <v>492.75</v>
      </c>
      <c r="I141">
        <v>657</v>
      </c>
      <c r="J141" s="11">
        <f t="shared" si="12"/>
        <v>566.66249999999991</v>
      </c>
      <c r="M141" t="s">
        <v>18</v>
      </c>
      <c r="O141" s="15">
        <f t="shared" si="17"/>
        <v>657</v>
      </c>
      <c r="P141" s="1">
        <f t="shared" si="18"/>
        <v>0</v>
      </c>
      <c r="Q141">
        <f t="shared" si="19"/>
        <v>16425</v>
      </c>
    </row>
    <row r="142" spans="3:17" x14ac:dyDescent="0.35">
      <c r="C142">
        <v>4100261601</v>
      </c>
      <c r="D142">
        <v>6604000</v>
      </c>
      <c r="E142" t="s">
        <v>52</v>
      </c>
      <c r="F142" t="s">
        <v>17</v>
      </c>
      <c r="G142">
        <v>100</v>
      </c>
      <c r="H142">
        <f t="shared" si="16"/>
        <v>492.75</v>
      </c>
      <c r="I142">
        <v>657</v>
      </c>
      <c r="J142" s="11">
        <f t="shared" si="12"/>
        <v>566.66249999999991</v>
      </c>
      <c r="M142" t="s">
        <v>18</v>
      </c>
      <c r="O142" s="15">
        <f t="shared" si="17"/>
        <v>657</v>
      </c>
      <c r="P142" s="1">
        <f t="shared" si="18"/>
        <v>0</v>
      </c>
      <c r="Q142">
        <f t="shared" si="19"/>
        <v>16425</v>
      </c>
    </row>
    <row r="143" spans="3:17" x14ac:dyDescent="0.35">
      <c r="C143">
        <v>4100258009</v>
      </c>
      <c r="D143">
        <v>6604001</v>
      </c>
      <c r="E143" t="s">
        <v>53</v>
      </c>
      <c r="F143" t="s">
        <v>17</v>
      </c>
      <c r="G143">
        <v>100</v>
      </c>
      <c r="H143">
        <f t="shared" si="16"/>
        <v>477</v>
      </c>
      <c r="I143">
        <v>636</v>
      </c>
      <c r="J143" s="11">
        <f t="shared" si="12"/>
        <v>548.54999999999995</v>
      </c>
      <c r="M143" t="s">
        <v>18</v>
      </c>
      <c r="O143" s="15">
        <f t="shared" si="17"/>
        <v>636</v>
      </c>
      <c r="P143" s="1">
        <f t="shared" si="18"/>
        <v>0</v>
      </c>
      <c r="Q143">
        <f t="shared" si="19"/>
        <v>15900</v>
      </c>
    </row>
    <row r="144" spans="3:17" x14ac:dyDescent="0.35">
      <c r="C144">
        <v>4100263118</v>
      </c>
      <c r="D144">
        <v>6604002</v>
      </c>
      <c r="E144" t="s">
        <v>73</v>
      </c>
      <c r="F144" t="s">
        <v>17</v>
      </c>
      <c r="G144">
        <v>100</v>
      </c>
      <c r="H144">
        <f t="shared" si="16"/>
        <v>1062</v>
      </c>
      <c r="I144">
        <v>1416</v>
      </c>
      <c r="J144" s="11">
        <f t="shared" si="12"/>
        <v>1221.3</v>
      </c>
      <c r="M144" t="s">
        <v>18</v>
      </c>
      <c r="O144" s="15">
        <f t="shared" si="17"/>
        <v>1416</v>
      </c>
      <c r="P144" s="1">
        <f t="shared" si="18"/>
        <v>0</v>
      </c>
      <c r="Q144">
        <f t="shared" si="19"/>
        <v>35400</v>
      </c>
    </row>
    <row r="145" spans="3:17" x14ac:dyDescent="0.35">
      <c r="C145">
        <v>4100253753</v>
      </c>
      <c r="D145">
        <v>6604003</v>
      </c>
      <c r="E145" t="s">
        <v>54</v>
      </c>
      <c r="F145" t="s">
        <v>17</v>
      </c>
      <c r="G145">
        <v>100</v>
      </c>
      <c r="H145">
        <f t="shared" si="16"/>
        <v>450</v>
      </c>
      <c r="I145">
        <v>600</v>
      </c>
      <c r="J145" s="11">
        <f t="shared" si="12"/>
        <v>517.5</v>
      </c>
      <c r="M145" t="s">
        <v>18</v>
      </c>
      <c r="O145" s="15">
        <f t="shared" si="17"/>
        <v>600</v>
      </c>
      <c r="P145" s="1">
        <f t="shared" si="18"/>
        <v>0</v>
      </c>
      <c r="Q145">
        <f t="shared" si="19"/>
        <v>15000</v>
      </c>
    </row>
    <row r="146" spans="3:17" x14ac:dyDescent="0.35">
      <c r="C146">
        <v>4100261601</v>
      </c>
      <c r="D146">
        <v>6604003</v>
      </c>
      <c r="E146" t="s">
        <v>54</v>
      </c>
      <c r="F146" t="s">
        <v>17</v>
      </c>
      <c r="G146">
        <v>100</v>
      </c>
      <c r="H146">
        <f t="shared" si="16"/>
        <v>450</v>
      </c>
      <c r="I146">
        <v>600</v>
      </c>
      <c r="J146" s="11">
        <f t="shared" si="12"/>
        <v>517.5</v>
      </c>
      <c r="M146" t="s">
        <v>18</v>
      </c>
      <c r="O146" s="15">
        <f t="shared" si="17"/>
        <v>600</v>
      </c>
      <c r="P146" s="1">
        <f t="shared" si="18"/>
        <v>0</v>
      </c>
      <c r="Q146">
        <f t="shared" si="19"/>
        <v>15000</v>
      </c>
    </row>
    <row r="147" spans="3:17" x14ac:dyDescent="0.35">
      <c r="C147">
        <v>4100253753</v>
      </c>
      <c r="D147">
        <v>6604004</v>
      </c>
      <c r="E147" t="s">
        <v>55</v>
      </c>
      <c r="F147" t="s">
        <v>17</v>
      </c>
      <c r="G147">
        <v>100</v>
      </c>
      <c r="H147">
        <f t="shared" si="16"/>
        <v>580.5</v>
      </c>
      <c r="I147">
        <v>774</v>
      </c>
      <c r="J147" s="11">
        <f t="shared" si="12"/>
        <v>667.57499999999993</v>
      </c>
      <c r="M147" t="s">
        <v>18</v>
      </c>
      <c r="O147" s="15">
        <f t="shared" si="17"/>
        <v>774</v>
      </c>
      <c r="P147" s="1">
        <f t="shared" si="18"/>
        <v>0</v>
      </c>
      <c r="Q147">
        <f t="shared" si="19"/>
        <v>19350</v>
      </c>
    </row>
    <row r="148" spans="3:17" x14ac:dyDescent="0.35">
      <c r="C148">
        <v>4100257252</v>
      </c>
      <c r="D148">
        <v>6604004</v>
      </c>
      <c r="E148" t="s">
        <v>55</v>
      </c>
      <c r="F148" t="s">
        <v>17</v>
      </c>
      <c r="G148">
        <v>100</v>
      </c>
      <c r="H148">
        <f t="shared" si="16"/>
        <v>580.5</v>
      </c>
      <c r="I148">
        <v>774</v>
      </c>
      <c r="J148" s="11">
        <f t="shared" si="12"/>
        <v>667.57499999999993</v>
      </c>
      <c r="M148" t="s">
        <v>18</v>
      </c>
      <c r="O148" s="15">
        <f t="shared" si="17"/>
        <v>774</v>
      </c>
      <c r="P148" s="1">
        <f t="shared" si="18"/>
        <v>0</v>
      </c>
      <c r="Q148">
        <f t="shared" si="19"/>
        <v>19350</v>
      </c>
    </row>
    <row r="149" spans="3:17" x14ac:dyDescent="0.35">
      <c r="C149">
        <v>4100264648</v>
      </c>
      <c r="D149">
        <v>6604004</v>
      </c>
      <c r="E149" t="s">
        <v>55</v>
      </c>
      <c r="F149" t="s">
        <v>17</v>
      </c>
      <c r="G149">
        <v>100</v>
      </c>
      <c r="H149">
        <f t="shared" si="16"/>
        <v>580.5</v>
      </c>
      <c r="I149">
        <v>774</v>
      </c>
      <c r="J149" s="11">
        <f t="shared" si="12"/>
        <v>667.57499999999993</v>
      </c>
      <c r="M149" t="s">
        <v>18</v>
      </c>
      <c r="O149" s="15">
        <f t="shared" si="17"/>
        <v>774</v>
      </c>
      <c r="P149" s="1">
        <f t="shared" si="18"/>
        <v>0</v>
      </c>
      <c r="Q149">
        <f t="shared" si="19"/>
        <v>19350</v>
      </c>
    </row>
    <row r="150" spans="3:17" x14ac:dyDescent="0.35">
      <c r="C150">
        <v>4100261601</v>
      </c>
      <c r="D150">
        <v>6604005</v>
      </c>
      <c r="E150" t="s">
        <v>97</v>
      </c>
      <c r="F150" t="s">
        <v>17</v>
      </c>
      <c r="G150">
        <v>100</v>
      </c>
      <c r="H150">
        <f t="shared" si="16"/>
        <v>2094.75</v>
      </c>
      <c r="I150">
        <v>2793</v>
      </c>
      <c r="J150" s="11">
        <f t="shared" ref="J150:J169" si="20">H150*115%</f>
        <v>2408.9624999999996</v>
      </c>
      <c r="M150" t="s">
        <v>18</v>
      </c>
      <c r="O150" s="15">
        <f t="shared" si="17"/>
        <v>2793</v>
      </c>
      <c r="P150" s="1">
        <f t="shared" si="18"/>
        <v>0</v>
      </c>
      <c r="Q150">
        <f t="shared" si="19"/>
        <v>69825</v>
      </c>
    </row>
    <row r="151" spans="3:17" x14ac:dyDescent="0.35">
      <c r="C151">
        <v>4100259722</v>
      </c>
      <c r="D151">
        <v>6604006</v>
      </c>
      <c r="E151" t="s">
        <v>56</v>
      </c>
      <c r="F151" t="s">
        <v>17</v>
      </c>
      <c r="G151">
        <v>100</v>
      </c>
      <c r="H151">
        <f t="shared" si="16"/>
        <v>479.25</v>
      </c>
      <c r="I151">
        <v>639</v>
      </c>
      <c r="J151" s="11">
        <f t="shared" si="20"/>
        <v>551.13749999999993</v>
      </c>
      <c r="M151" t="s">
        <v>18</v>
      </c>
      <c r="O151" s="15">
        <f t="shared" si="17"/>
        <v>639</v>
      </c>
      <c r="P151" s="1">
        <f t="shared" si="18"/>
        <v>0</v>
      </c>
      <c r="Q151">
        <f t="shared" si="19"/>
        <v>15975</v>
      </c>
    </row>
    <row r="152" spans="3:17" x14ac:dyDescent="0.35">
      <c r="C152">
        <v>4100261601</v>
      </c>
      <c r="D152">
        <v>6604006</v>
      </c>
      <c r="E152" t="s">
        <v>56</v>
      </c>
      <c r="F152" t="s">
        <v>17</v>
      </c>
      <c r="G152">
        <v>100</v>
      </c>
      <c r="H152">
        <f t="shared" si="16"/>
        <v>573.75</v>
      </c>
      <c r="I152">
        <v>765</v>
      </c>
      <c r="J152" s="11">
        <f t="shared" si="20"/>
        <v>659.8125</v>
      </c>
      <c r="M152" t="s">
        <v>18</v>
      </c>
      <c r="O152" s="15">
        <f t="shared" si="17"/>
        <v>765</v>
      </c>
      <c r="P152" s="1">
        <f t="shared" si="18"/>
        <v>0</v>
      </c>
      <c r="Q152">
        <f t="shared" si="19"/>
        <v>19125</v>
      </c>
    </row>
    <row r="153" spans="3:17" x14ac:dyDescent="0.35">
      <c r="C153">
        <v>4100253753</v>
      </c>
      <c r="D153">
        <v>6604007</v>
      </c>
      <c r="E153" t="s">
        <v>57</v>
      </c>
      <c r="F153" t="s">
        <v>17</v>
      </c>
      <c r="G153">
        <v>100</v>
      </c>
      <c r="H153">
        <f t="shared" si="16"/>
        <v>625.5</v>
      </c>
      <c r="I153">
        <v>834</v>
      </c>
      <c r="J153" s="11">
        <f t="shared" si="20"/>
        <v>719.32499999999993</v>
      </c>
      <c r="M153" t="s">
        <v>18</v>
      </c>
      <c r="O153" s="15">
        <f t="shared" si="17"/>
        <v>834</v>
      </c>
      <c r="P153" s="1">
        <f t="shared" si="18"/>
        <v>0</v>
      </c>
      <c r="Q153">
        <f t="shared" si="19"/>
        <v>20850</v>
      </c>
    </row>
    <row r="154" spans="3:17" x14ac:dyDescent="0.35">
      <c r="C154">
        <v>4100258625</v>
      </c>
      <c r="D154">
        <v>6604007</v>
      </c>
      <c r="E154" t="s">
        <v>57</v>
      </c>
      <c r="F154" t="s">
        <v>17</v>
      </c>
      <c r="G154">
        <v>100</v>
      </c>
      <c r="H154">
        <f t="shared" si="16"/>
        <v>625.5</v>
      </c>
      <c r="I154">
        <v>834</v>
      </c>
      <c r="J154" s="11">
        <f t="shared" si="20"/>
        <v>719.32499999999993</v>
      </c>
      <c r="M154" t="s">
        <v>18</v>
      </c>
      <c r="O154" s="15">
        <f t="shared" si="17"/>
        <v>834</v>
      </c>
      <c r="P154" s="1">
        <f t="shared" si="18"/>
        <v>0</v>
      </c>
      <c r="Q154">
        <f t="shared" si="19"/>
        <v>20850</v>
      </c>
    </row>
    <row r="155" spans="3:17" x14ac:dyDescent="0.35">
      <c r="C155">
        <v>4100264648</v>
      </c>
      <c r="D155">
        <v>6604007</v>
      </c>
      <c r="E155" t="s">
        <v>57</v>
      </c>
      <c r="F155" t="s">
        <v>17</v>
      </c>
      <c r="G155">
        <v>100</v>
      </c>
      <c r="H155">
        <f t="shared" si="16"/>
        <v>625.5</v>
      </c>
      <c r="I155">
        <v>834</v>
      </c>
      <c r="J155" s="11">
        <f t="shared" si="20"/>
        <v>719.32499999999993</v>
      </c>
      <c r="M155" t="s">
        <v>18</v>
      </c>
      <c r="O155" s="15">
        <f t="shared" si="17"/>
        <v>834</v>
      </c>
      <c r="P155" s="1">
        <f t="shared" si="18"/>
        <v>0</v>
      </c>
      <c r="Q155">
        <f t="shared" si="19"/>
        <v>20850</v>
      </c>
    </row>
    <row r="156" spans="3:17" x14ac:dyDescent="0.35">
      <c r="C156">
        <v>4100264648</v>
      </c>
      <c r="D156">
        <v>6604008</v>
      </c>
      <c r="E156" t="s">
        <v>106</v>
      </c>
      <c r="F156" t="s">
        <v>17</v>
      </c>
      <c r="G156">
        <v>100</v>
      </c>
      <c r="H156">
        <f t="shared" si="16"/>
        <v>756</v>
      </c>
      <c r="I156">
        <v>1008</v>
      </c>
      <c r="J156" s="11">
        <f t="shared" si="20"/>
        <v>869.4</v>
      </c>
      <c r="M156" t="s">
        <v>18</v>
      </c>
      <c r="O156" s="15">
        <f t="shared" si="17"/>
        <v>1008</v>
      </c>
      <c r="P156" s="1">
        <f t="shared" si="18"/>
        <v>0</v>
      </c>
      <c r="Q156">
        <f t="shared" si="19"/>
        <v>25200</v>
      </c>
    </row>
    <row r="157" spans="3:17" x14ac:dyDescent="0.35">
      <c r="C157">
        <v>4100253753</v>
      </c>
      <c r="D157">
        <v>6604009</v>
      </c>
      <c r="E157" t="s">
        <v>58</v>
      </c>
      <c r="F157" t="s">
        <v>17</v>
      </c>
      <c r="G157">
        <v>100</v>
      </c>
      <c r="H157">
        <f t="shared" si="16"/>
        <v>470.25</v>
      </c>
      <c r="I157">
        <v>627</v>
      </c>
      <c r="J157" s="11">
        <f t="shared" si="20"/>
        <v>540.78749999999991</v>
      </c>
      <c r="M157" t="s">
        <v>18</v>
      </c>
      <c r="O157" s="15">
        <f t="shared" si="17"/>
        <v>627</v>
      </c>
      <c r="P157" s="1">
        <f t="shared" si="18"/>
        <v>0</v>
      </c>
      <c r="Q157">
        <f t="shared" si="19"/>
        <v>15675</v>
      </c>
    </row>
    <row r="158" spans="3:17" x14ac:dyDescent="0.35">
      <c r="C158">
        <v>4100257252</v>
      </c>
      <c r="D158">
        <v>6604009</v>
      </c>
      <c r="E158" t="s">
        <v>58</v>
      </c>
      <c r="F158" t="s">
        <v>17</v>
      </c>
      <c r="G158">
        <v>100</v>
      </c>
      <c r="H158">
        <f t="shared" si="16"/>
        <v>470.25</v>
      </c>
      <c r="I158">
        <v>627</v>
      </c>
      <c r="J158" s="11">
        <f t="shared" si="20"/>
        <v>540.78749999999991</v>
      </c>
      <c r="M158" t="s">
        <v>18</v>
      </c>
      <c r="O158" s="15">
        <f t="shared" si="17"/>
        <v>627</v>
      </c>
      <c r="P158" s="1">
        <f t="shared" si="18"/>
        <v>0</v>
      </c>
      <c r="Q158">
        <f t="shared" si="19"/>
        <v>15675</v>
      </c>
    </row>
    <row r="159" spans="3:17" x14ac:dyDescent="0.35">
      <c r="C159">
        <v>4100257860</v>
      </c>
      <c r="D159">
        <v>6604011</v>
      </c>
      <c r="E159" t="s">
        <v>107</v>
      </c>
      <c r="F159" t="s">
        <v>17</v>
      </c>
      <c r="G159">
        <v>100</v>
      </c>
      <c r="H159">
        <f t="shared" si="16"/>
        <v>488.25</v>
      </c>
      <c r="I159">
        <v>651</v>
      </c>
      <c r="J159" s="11">
        <f t="shared" si="20"/>
        <v>561.48749999999995</v>
      </c>
      <c r="M159" t="s">
        <v>18</v>
      </c>
      <c r="O159" s="15">
        <f t="shared" si="17"/>
        <v>651</v>
      </c>
      <c r="P159" s="1">
        <f t="shared" si="18"/>
        <v>0</v>
      </c>
      <c r="Q159">
        <f t="shared" si="19"/>
        <v>16275</v>
      </c>
    </row>
    <row r="160" spans="3:17" x14ac:dyDescent="0.35">
      <c r="C160">
        <v>4100256387</v>
      </c>
      <c r="D160">
        <v>6604017</v>
      </c>
      <c r="E160" t="s">
        <v>26</v>
      </c>
      <c r="F160" t="s">
        <v>17</v>
      </c>
      <c r="G160">
        <v>100</v>
      </c>
      <c r="H160">
        <f t="shared" si="16"/>
        <v>342</v>
      </c>
      <c r="I160">
        <v>456</v>
      </c>
      <c r="J160" s="11">
        <f t="shared" si="20"/>
        <v>393.29999999999995</v>
      </c>
      <c r="M160" t="s">
        <v>18</v>
      </c>
      <c r="O160" s="15">
        <f t="shared" si="17"/>
        <v>456</v>
      </c>
      <c r="P160" s="1">
        <f t="shared" si="18"/>
        <v>0</v>
      </c>
      <c r="Q160">
        <f t="shared" si="19"/>
        <v>11400</v>
      </c>
    </row>
    <row r="161" spans="3:17" x14ac:dyDescent="0.35">
      <c r="C161">
        <v>4100254477</v>
      </c>
      <c r="D161">
        <v>6604021</v>
      </c>
      <c r="E161" t="s">
        <v>108</v>
      </c>
      <c r="F161" t="s">
        <v>17</v>
      </c>
      <c r="G161">
        <v>100</v>
      </c>
      <c r="H161">
        <f t="shared" si="16"/>
        <v>227.25</v>
      </c>
      <c r="I161">
        <v>303</v>
      </c>
      <c r="J161" s="11">
        <f t="shared" si="20"/>
        <v>261.33749999999998</v>
      </c>
      <c r="M161" t="s">
        <v>18</v>
      </c>
      <c r="O161" s="15">
        <f t="shared" si="17"/>
        <v>303</v>
      </c>
      <c r="P161" s="1">
        <f t="shared" si="18"/>
        <v>0</v>
      </c>
      <c r="Q161">
        <f t="shared" si="19"/>
        <v>7575</v>
      </c>
    </row>
    <row r="162" spans="3:17" x14ac:dyDescent="0.35">
      <c r="C162">
        <v>4100256387</v>
      </c>
      <c r="D162">
        <v>6604021</v>
      </c>
      <c r="E162" t="s">
        <v>108</v>
      </c>
      <c r="F162" t="s">
        <v>17</v>
      </c>
      <c r="G162">
        <v>100</v>
      </c>
      <c r="H162">
        <f t="shared" si="16"/>
        <v>227.25</v>
      </c>
      <c r="I162">
        <v>303</v>
      </c>
      <c r="J162" s="11">
        <f t="shared" si="20"/>
        <v>261.33749999999998</v>
      </c>
      <c r="M162" t="s">
        <v>18</v>
      </c>
      <c r="O162" s="15">
        <f t="shared" si="17"/>
        <v>303</v>
      </c>
      <c r="P162" s="1">
        <f t="shared" si="18"/>
        <v>0</v>
      </c>
      <c r="Q162">
        <f t="shared" si="19"/>
        <v>7575</v>
      </c>
    </row>
    <row r="163" spans="3:17" x14ac:dyDescent="0.35">
      <c r="C163">
        <v>4100256387</v>
      </c>
      <c r="D163">
        <v>6604024</v>
      </c>
      <c r="E163" t="s">
        <v>109</v>
      </c>
      <c r="F163" t="s">
        <v>17</v>
      </c>
      <c r="G163">
        <v>100</v>
      </c>
      <c r="H163">
        <f t="shared" si="16"/>
        <v>252</v>
      </c>
      <c r="I163">
        <v>336</v>
      </c>
      <c r="J163" s="11">
        <f t="shared" si="20"/>
        <v>289.79999999999995</v>
      </c>
      <c r="M163" t="s">
        <v>18</v>
      </c>
      <c r="O163" s="15">
        <f t="shared" si="17"/>
        <v>336</v>
      </c>
      <c r="P163" s="1">
        <f t="shared" si="18"/>
        <v>0</v>
      </c>
      <c r="Q163">
        <f t="shared" si="19"/>
        <v>8400</v>
      </c>
    </row>
    <row r="164" spans="3:17" x14ac:dyDescent="0.35">
      <c r="C164">
        <v>4100250432</v>
      </c>
      <c r="D164">
        <v>6605177</v>
      </c>
      <c r="E164" t="s">
        <v>100</v>
      </c>
      <c r="F164" t="s">
        <v>17</v>
      </c>
      <c r="G164">
        <v>100</v>
      </c>
      <c r="H164">
        <f t="shared" si="16"/>
        <v>603.90000000000009</v>
      </c>
      <c r="I164">
        <v>805.2</v>
      </c>
      <c r="J164" s="11">
        <f t="shared" si="20"/>
        <v>694.48500000000001</v>
      </c>
      <c r="M164" t="s">
        <v>18</v>
      </c>
      <c r="O164" s="15">
        <f t="shared" si="17"/>
        <v>805.2</v>
      </c>
      <c r="P164" s="1">
        <f t="shared" si="18"/>
        <v>0</v>
      </c>
      <c r="Q164">
        <f t="shared" si="19"/>
        <v>20129.999999999996</v>
      </c>
    </row>
    <row r="165" spans="3:17" x14ac:dyDescent="0.35">
      <c r="C165">
        <v>4100254477</v>
      </c>
      <c r="D165">
        <v>6605177</v>
      </c>
      <c r="E165" t="s">
        <v>100</v>
      </c>
      <c r="F165" t="s">
        <v>17</v>
      </c>
      <c r="G165">
        <v>100</v>
      </c>
      <c r="H165">
        <f t="shared" si="16"/>
        <v>549</v>
      </c>
      <c r="I165">
        <v>732</v>
      </c>
      <c r="J165" s="11">
        <f t="shared" si="20"/>
        <v>631.34999999999991</v>
      </c>
      <c r="M165" t="s">
        <v>18</v>
      </c>
      <c r="O165" s="15">
        <f t="shared" si="17"/>
        <v>732</v>
      </c>
      <c r="P165" s="1">
        <f t="shared" si="18"/>
        <v>0</v>
      </c>
      <c r="Q165">
        <f t="shared" si="19"/>
        <v>18300</v>
      </c>
    </row>
    <row r="166" spans="3:17" x14ac:dyDescent="0.35">
      <c r="C166">
        <v>4100264899</v>
      </c>
      <c r="D166">
        <v>6605177</v>
      </c>
      <c r="E166" t="s">
        <v>100</v>
      </c>
      <c r="F166" t="s">
        <v>17</v>
      </c>
      <c r="G166">
        <v>100</v>
      </c>
      <c r="H166">
        <f t="shared" si="16"/>
        <v>603.90000000000009</v>
      </c>
      <c r="I166">
        <v>805.2</v>
      </c>
      <c r="J166" s="11">
        <f t="shared" si="20"/>
        <v>694.48500000000001</v>
      </c>
      <c r="M166" t="s">
        <v>18</v>
      </c>
      <c r="O166" s="15">
        <f t="shared" si="17"/>
        <v>805.2</v>
      </c>
      <c r="P166" s="1">
        <f t="shared" si="18"/>
        <v>0</v>
      </c>
      <c r="Q166">
        <f t="shared" si="19"/>
        <v>20129.999999999996</v>
      </c>
    </row>
    <row r="167" spans="3:17" x14ac:dyDescent="0.35">
      <c r="C167">
        <v>4100254477</v>
      </c>
      <c r="D167">
        <v>6606388</v>
      </c>
      <c r="E167" t="s">
        <v>31</v>
      </c>
      <c r="F167" t="s">
        <v>17</v>
      </c>
      <c r="G167">
        <v>100</v>
      </c>
      <c r="H167">
        <f t="shared" si="16"/>
        <v>121.5</v>
      </c>
      <c r="I167">
        <v>162</v>
      </c>
      <c r="J167" s="11">
        <f t="shared" si="20"/>
        <v>139.72499999999999</v>
      </c>
      <c r="M167" t="s">
        <v>18</v>
      </c>
      <c r="O167" s="15">
        <f t="shared" si="17"/>
        <v>162</v>
      </c>
      <c r="P167" s="1">
        <f t="shared" si="18"/>
        <v>0</v>
      </c>
      <c r="Q167">
        <f t="shared" si="19"/>
        <v>4050</v>
      </c>
    </row>
    <row r="168" spans="3:17" x14ac:dyDescent="0.35">
      <c r="C168">
        <v>4100253753</v>
      </c>
      <c r="D168">
        <v>6620339</v>
      </c>
      <c r="E168" t="s">
        <v>110</v>
      </c>
      <c r="F168" t="s">
        <v>17</v>
      </c>
      <c r="G168">
        <v>100</v>
      </c>
      <c r="H168">
        <f t="shared" si="16"/>
        <v>483.75</v>
      </c>
      <c r="I168">
        <v>645</v>
      </c>
      <c r="J168" s="11">
        <f t="shared" si="20"/>
        <v>556.3125</v>
      </c>
      <c r="M168" t="s">
        <v>18</v>
      </c>
      <c r="O168" s="15">
        <f t="shared" si="17"/>
        <v>645</v>
      </c>
      <c r="P168" s="1">
        <f t="shared" si="18"/>
        <v>0</v>
      </c>
      <c r="Q168">
        <f t="shared" si="19"/>
        <v>16125</v>
      </c>
    </row>
  </sheetData>
  <autoFilter ref="B2:Q168" xr:uid="{FF946A1D-5817-433D-B5F7-D70CB48E54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H Chheda</dc:creator>
  <cp:lastModifiedBy>Abhay H Chheda</cp:lastModifiedBy>
  <dcterms:created xsi:type="dcterms:W3CDTF">2026-01-27T05:51:58Z</dcterms:created>
  <dcterms:modified xsi:type="dcterms:W3CDTF">2026-01-27T05:52:29Z</dcterms:modified>
</cp:coreProperties>
</file>