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ua.AJANTAPTN\Desktop\"/>
    </mc:Choice>
  </mc:AlternateContent>
  <bookViews>
    <workbookView xWindow="0" yWindow="0" windowWidth="28800" windowHeight="12225"/>
  </bookViews>
  <sheets>
    <sheet name="Summery" sheetId="7" r:id="rId1"/>
    <sheet name="Sheet1" sheetId="6" r:id="rId2"/>
  </sheets>
  <definedNames>
    <definedName name="_xlnm._FilterDatabase" localSheetId="1" hidden="1">Sheet1!$A$2:$AC$182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7" l="1"/>
  <c r="D5" i="7"/>
  <c r="D4" i="7"/>
  <c r="C5" i="7"/>
  <c r="C4" i="7"/>
  <c r="E4" i="7" l="1"/>
  <c r="E6" i="7"/>
  <c r="E5" i="7"/>
  <c r="W3" i="6" l="1"/>
  <c r="Z182" i="6"/>
  <c r="H69" i="6" l="1"/>
  <c r="H72" i="6"/>
  <c r="H123" i="6"/>
  <c r="H131" i="6"/>
  <c r="H158" i="6"/>
  <c r="H159" i="6"/>
  <c r="H161" i="6"/>
  <c r="H169" i="6"/>
  <c r="H170" i="6"/>
  <c r="AC170" i="6" s="1"/>
  <c r="G181" i="6"/>
  <c r="H181" i="6" s="1"/>
  <c r="G180" i="6"/>
  <c r="H180" i="6" s="1"/>
  <c r="G179" i="6"/>
  <c r="H179" i="6" s="1"/>
  <c r="G178" i="6"/>
  <c r="H178" i="6" s="1"/>
  <c r="G177" i="6"/>
  <c r="H177" i="6" s="1"/>
  <c r="G176" i="6"/>
  <c r="H176" i="6" s="1"/>
  <c r="G175" i="6"/>
  <c r="H175" i="6" s="1"/>
  <c r="G174" i="6"/>
  <c r="H174" i="6" s="1"/>
  <c r="G173" i="6"/>
  <c r="H173" i="6" s="1"/>
  <c r="G172" i="6"/>
  <c r="H172" i="6" s="1"/>
  <c r="G171" i="6"/>
  <c r="H171" i="6" s="1"/>
  <c r="G168" i="6"/>
  <c r="H168" i="6" s="1"/>
  <c r="G167" i="6"/>
  <c r="H167" i="6" s="1"/>
  <c r="G166" i="6"/>
  <c r="H166" i="6" s="1"/>
  <c r="G165" i="6"/>
  <c r="H165" i="6" s="1"/>
  <c r="G164" i="6"/>
  <c r="H164" i="6" s="1"/>
  <c r="G163" i="6"/>
  <c r="H163" i="6" s="1"/>
  <c r="G162" i="6"/>
  <c r="H162" i="6" s="1"/>
  <c r="G160" i="6"/>
  <c r="H160" i="6" s="1"/>
  <c r="G157" i="6"/>
  <c r="H157" i="6" s="1"/>
  <c r="G156" i="6"/>
  <c r="H156" i="6" s="1"/>
  <c r="G155" i="6"/>
  <c r="H155" i="6" s="1"/>
  <c r="G154" i="6"/>
  <c r="H154" i="6" s="1"/>
  <c r="G153" i="6"/>
  <c r="H153" i="6" s="1"/>
  <c r="G152" i="6"/>
  <c r="H152" i="6" s="1"/>
  <c r="G151" i="6"/>
  <c r="H151" i="6" s="1"/>
  <c r="G150" i="6"/>
  <c r="H150" i="6" s="1"/>
  <c r="G149" i="6"/>
  <c r="H149" i="6" s="1"/>
  <c r="AC149" i="6" s="1"/>
  <c r="G148" i="6"/>
  <c r="H148" i="6" s="1"/>
  <c r="G147" i="6"/>
  <c r="H147" i="6" s="1"/>
  <c r="G146" i="6"/>
  <c r="H146" i="6" s="1"/>
  <c r="G145" i="6"/>
  <c r="H145" i="6" s="1"/>
  <c r="G144" i="6"/>
  <c r="H144" i="6" s="1"/>
  <c r="G143" i="6"/>
  <c r="H143" i="6" s="1"/>
  <c r="G142" i="6"/>
  <c r="H142" i="6" s="1"/>
  <c r="G141" i="6"/>
  <c r="H141" i="6" s="1"/>
  <c r="G140" i="6"/>
  <c r="H140" i="6" s="1"/>
  <c r="G139" i="6"/>
  <c r="H139" i="6" s="1"/>
  <c r="G138" i="6"/>
  <c r="H138" i="6" s="1"/>
  <c r="G137" i="6"/>
  <c r="H137" i="6" s="1"/>
  <c r="G136" i="6"/>
  <c r="H136" i="6" s="1"/>
  <c r="G135" i="6"/>
  <c r="H135" i="6" s="1"/>
  <c r="G134" i="6"/>
  <c r="H134" i="6" s="1"/>
  <c r="G133" i="6"/>
  <c r="H133" i="6" s="1"/>
  <c r="G132" i="6"/>
  <c r="H132" i="6" s="1"/>
  <c r="G130" i="6"/>
  <c r="H130" i="6" s="1"/>
  <c r="G129" i="6"/>
  <c r="H129" i="6" s="1"/>
  <c r="AC129" i="6" s="1"/>
  <c r="G128" i="6"/>
  <c r="H128" i="6" s="1"/>
  <c r="G127" i="6"/>
  <c r="H127" i="6" s="1"/>
  <c r="G126" i="6"/>
  <c r="H126" i="6" s="1"/>
  <c r="G125" i="6"/>
  <c r="H125" i="6" s="1"/>
  <c r="G124" i="6"/>
  <c r="H124" i="6" s="1"/>
  <c r="G122" i="6"/>
  <c r="H122" i="6" s="1"/>
  <c r="G121" i="6"/>
  <c r="H121" i="6" s="1"/>
  <c r="G120" i="6"/>
  <c r="H120" i="6" s="1"/>
  <c r="G119" i="6"/>
  <c r="H119" i="6" s="1"/>
  <c r="G118" i="6"/>
  <c r="H118" i="6" s="1"/>
  <c r="G117" i="6"/>
  <c r="H117" i="6" s="1"/>
  <c r="G116" i="6"/>
  <c r="H116" i="6" s="1"/>
  <c r="G115" i="6"/>
  <c r="H115" i="6" s="1"/>
  <c r="G114" i="6"/>
  <c r="H114" i="6" s="1"/>
  <c r="G113" i="6"/>
  <c r="H113" i="6" s="1"/>
  <c r="G112" i="6"/>
  <c r="H112" i="6" s="1"/>
  <c r="G111" i="6"/>
  <c r="H111" i="6" s="1"/>
  <c r="G110" i="6"/>
  <c r="H110" i="6" s="1"/>
  <c r="G109" i="6"/>
  <c r="H109" i="6" s="1"/>
  <c r="G108" i="6"/>
  <c r="H108" i="6" s="1"/>
  <c r="G107" i="6"/>
  <c r="H107" i="6" s="1"/>
  <c r="G106" i="6"/>
  <c r="H106" i="6" s="1"/>
  <c r="G105" i="6"/>
  <c r="H105" i="6" s="1"/>
  <c r="G104" i="6"/>
  <c r="H104" i="6" s="1"/>
  <c r="G103" i="6"/>
  <c r="H103" i="6" s="1"/>
  <c r="G102" i="6"/>
  <c r="H102" i="6" s="1"/>
  <c r="G101" i="6"/>
  <c r="H101" i="6" s="1"/>
  <c r="G100" i="6"/>
  <c r="H100" i="6" s="1"/>
  <c r="AC100" i="6" s="1"/>
  <c r="G99" i="6"/>
  <c r="H99" i="6" s="1"/>
  <c r="G98" i="6"/>
  <c r="H98" i="6" s="1"/>
  <c r="G97" i="6"/>
  <c r="H97" i="6" s="1"/>
  <c r="G96" i="6"/>
  <c r="H96" i="6" s="1"/>
  <c r="G95" i="6"/>
  <c r="H95" i="6" s="1"/>
  <c r="G94" i="6"/>
  <c r="H94" i="6" s="1"/>
  <c r="G93" i="6"/>
  <c r="H93" i="6" s="1"/>
  <c r="G92" i="6"/>
  <c r="H92" i="6" s="1"/>
  <c r="G91" i="6"/>
  <c r="H91" i="6" s="1"/>
  <c r="G90" i="6"/>
  <c r="H90" i="6" s="1"/>
  <c r="G89" i="6"/>
  <c r="H89" i="6" s="1"/>
  <c r="G88" i="6"/>
  <c r="H88" i="6" s="1"/>
  <c r="G87" i="6"/>
  <c r="H87" i="6" s="1"/>
  <c r="G86" i="6"/>
  <c r="H86" i="6" s="1"/>
  <c r="G85" i="6"/>
  <c r="H85" i="6" s="1"/>
  <c r="G84" i="6"/>
  <c r="H84" i="6" s="1"/>
  <c r="G83" i="6"/>
  <c r="H83" i="6" s="1"/>
  <c r="G82" i="6"/>
  <c r="H82" i="6" s="1"/>
  <c r="G81" i="6"/>
  <c r="H81" i="6" s="1"/>
  <c r="G80" i="6"/>
  <c r="H80" i="6" s="1"/>
  <c r="G79" i="6"/>
  <c r="H79" i="6" s="1"/>
  <c r="G78" i="6"/>
  <c r="H78" i="6" s="1"/>
  <c r="G77" i="6"/>
  <c r="H77" i="6" s="1"/>
  <c r="G76" i="6"/>
  <c r="H76" i="6" s="1"/>
  <c r="G75" i="6"/>
  <c r="H75" i="6" s="1"/>
  <c r="G74" i="6"/>
  <c r="H74" i="6" s="1"/>
  <c r="G73" i="6"/>
  <c r="H73" i="6" s="1"/>
  <c r="G71" i="6"/>
  <c r="H71" i="6" s="1"/>
  <c r="G70" i="6"/>
  <c r="H70" i="6" s="1"/>
  <c r="G68" i="6"/>
  <c r="H68" i="6" s="1"/>
  <c r="G67" i="6"/>
  <c r="H67" i="6" s="1"/>
  <c r="G66" i="6"/>
  <c r="H66" i="6" s="1"/>
  <c r="G65" i="6"/>
  <c r="H65" i="6" s="1"/>
  <c r="G64" i="6"/>
  <c r="H64" i="6" s="1"/>
  <c r="G63" i="6"/>
  <c r="H63" i="6" s="1"/>
  <c r="G62" i="6"/>
  <c r="H62" i="6" s="1"/>
  <c r="G61" i="6"/>
  <c r="H61" i="6" s="1"/>
  <c r="G60" i="6"/>
  <c r="H60" i="6" s="1"/>
  <c r="G59" i="6"/>
  <c r="H59" i="6" s="1"/>
  <c r="G58" i="6"/>
  <c r="H58" i="6" s="1"/>
  <c r="G57" i="6"/>
  <c r="H57" i="6" s="1"/>
  <c r="G56" i="6"/>
  <c r="H56" i="6" s="1"/>
  <c r="G55" i="6"/>
  <c r="H55" i="6" s="1"/>
  <c r="G54" i="6"/>
  <c r="H54" i="6" s="1"/>
  <c r="G53" i="6"/>
  <c r="H53" i="6" s="1"/>
  <c r="G52" i="6"/>
  <c r="H52" i="6" s="1"/>
  <c r="G51" i="6"/>
  <c r="H51" i="6" s="1"/>
  <c r="G50" i="6"/>
  <c r="H50" i="6" s="1"/>
  <c r="G49" i="6"/>
  <c r="H49" i="6" s="1"/>
  <c r="G48" i="6"/>
  <c r="H48" i="6" s="1"/>
  <c r="G47" i="6"/>
  <c r="H47" i="6" s="1"/>
  <c r="G46" i="6"/>
  <c r="H46" i="6" s="1"/>
  <c r="G45" i="6"/>
  <c r="H45" i="6" s="1"/>
  <c r="G44" i="6"/>
  <c r="H44" i="6" s="1"/>
  <c r="G43" i="6"/>
  <c r="H43" i="6" s="1"/>
  <c r="G42" i="6"/>
  <c r="H42" i="6" s="1"/>
  <c r="G41" i="6"/>
  <c r="H41" i="6" s="1"/>
  <c r="G40" i="6"/>
  <c r="H40" i="6" s="1"/>
  <c r="G39" i="6"/>
  <c r="H39" i="6" s="1"/>
  <c r="G38" i="6"/>
  <c r="H38" i="6" s="1"/>
  <c r="G37" i="6"/>
  <c r="H37" i="6" s="1"/>
  <c r="AC37" i="6" s="1"/>
  <c r="G36" i="6"/>
  <c r="H36" i="6" s="1"/>
  <c r="G35" i="6"/>
  <c r="H35" i="6" s="1"/>
  <c r="G34" i="6"/>
  <c r="H34" i="6" s="1"/>
  <c r="G33" i="6"/>
  <c r="H33" i="6" s="1"/>
  <c r="G32" i="6"/>
  <c r="H32" i="6" s="1"/>
  <c r="G31" i="6"/>
  <c r="H31" i="6" s="1"/>
  <c r="G30" i="6"/>
  <c r="H30" i="6" s="1"/>
  <c r="G29" i="6"/>
  <c r="H29" i="6" s="1"/>
  <c r="G28" i="6"/>
  <c r="H28" i="6" s="1"/>
  <c r="G27" i="6"/>
  <c r="H27" i="6" s="1"/>
  <c r="G26" i="6"/>
  <c r="H26" i="6" s="1"/>
  <c r="G25" i="6"/>
  <c r="H25" i="6" s="1"/>
  <c r="G24" i="6"/>
  <c r="H24" i="6" s="1"/>
  <c r="G23" i="6"/>
  <c r="H23" i="6" s="1"/>
  <c r="G22" i="6"/>
  <c r="H22" i="6" s="1"/>
  <c r="G21" i="6"/>
  <c r="H21" i="6" s="1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G9" i="6"/>
  <c r="H9" i="6" s="1"/>
  <c r="G8" i="6"/>
  <c r="H8" i="6" s="1"/>
  <c r="G7" i="6"/>
  <c r="H7" i="6" s="1"/>
  <c r="G6" i="6"/>
  <c r="H6" i="6" s="1"/>
  <c r="G5" i="6"/>
  <c r="H5" i="6" s="1"/>
  <c r="G4" i="6"/>
  <c r="H4" i="6" s="1"/>
  <c r="AC69" i="6" l="1"/>
  <c r="AC77" i="6"/>
  <c r="AC93" i="6"/>
  <c r="AC109" i="6"/>
  <c r="AC117" i="6"/>
  <c r="AC143" i="6"/>
  <c r="AC85" i="6"/>
  <c r="AC101" i="6"/>
  <c r="AC126" i="6"/>
  <c r="AC166" i="6"/>
  <c r="AC79" i="6"/>
  <c r="AC91" i="6"/>
  <c r="AC99" i="6"/>
  <c r="AC107" i="6"/>
  <c r="AC119" i="6"/>
  <c r="AC128" i="6"/>
  <c r="AC137" i="6"/>
  <c r="AC145" i="6"/>
  <c r="AC168" i="6"/>
  <c r="AC70" i="6"/>
  <c r="AC46" i="6"/>
  <c r="AC14" i="6"/>
  <c r="AC75" i="6"/>
  <c r="AC83" i="6"/>
  <c r="AC87" i="6"/>
  <c r="AC95" i="6"/>
  <c r="AC103" i="6"/>
  <c r="AC111" i="6"/>
  <c r="AC115" i="6"/>
  <c r="AC124" i="6"/>
  <c r="AC133" i="6"/>
  <c r="AC141" i="6"/>
  <c r="AC164" i="6"/>
  <c r="AC179" i="6"/>
  <c r="AC155" i="6"/>
  <c r="AC62" i="6"/>
  <c r="AC54" i="6"/>
  <c r="AC38" i="6"/>
  <c r="AC30" i="6"/>
  <c r="AC22" i="6"/>
  <c r="AC6" i="6"/>
  <c r="AC71" i="6"/>
  <c r="AC172" i="6"/>
  <c r="AC169" i="6"/>
  <c r="AC162" i="6"/>
  <c r="AC158" i="6"/>
  <c r="AC147" i="6"/>
  <c r="AC139" i="6"/>
  <c r="AC132" i="6"/>
  <c r="AC130" i="6"/>
  <c r="AC121" i="6"/>
  <c r="AC113" i="6"/>
  <c r="AC105" i="6"/>
  <c r="AC97" i="6"/>
  <c r="AC89" i="6"/>
  <c r="AC81" i="6"/>
  <c r="AC73" i="6"/>
  <c r="AC7" i="6"/>
  <c r="AC11" i="6"/>
  <c r="AC15" i="6"/>
  <c r="AC19" i="6"/>
  <c r="AC23" i="6"/>
  <c r="AC27" i="6"/>
  <c r="AC31" i="6"/>
  <c r="AC35" i="6"/>
  <c r="AC39" i="6"/>
  <c r="AC43" i="6"/>
  <c r="AC47" i="6"/>
  <c r="AC51" i="6"/>
  <c r="AC55" i="6"/>
  <c r="AC59" i="6"/>
  <c r="AC63" i="6"/>
  <c r="AC67" i="6"/>
  <c r="AC135" i="6"/>
  <c r="AC151" i="6"/>
  <c r="AC176" i="6"/>
  <c r="AC180" i="6"/>
  <c r="AC175" i="6"/>
  <c r="AC150" i="6"/>
  <c r="AC66" i="6"/>
  <c r="AC58" i="6"/>
  <c r="AC50" i="6"/>
  <c r="AC42" i="6"/>
  <c r="AC34" i="6"/>
  <c r="AC26" i="6"/>
  <c r="AC18" i="6"/>
  <c r="AC10" i="6"/>
  <c r="AC4" i="6"/>
  <c r="AC8" i="6"/>
  <c r="AC12" i="6"/>
  <c r="AC16" i="6"/>
  <c r="AC20" i="6"/>
  <c r="AC24" i="6"/>
  <c r="AC28" i="6"/>
  <c r="AC32" i="6"/>
  <c r="AC36" i="6"/>
  <c r="AC40" i="6"/>
  <c r="AC44" i="6"/>
  <c r="AC48" i="6"/>
  <c r="AC52" i="6"/>
  <c r="AC56" i="6"/>
  <c r="AC60" i="6"/>
  <c r="AC64" i="6"/>
  <c r="AC68" i="6"/>
  <c r="AC74" i="6"/>
  <c r="AC78" i="6"/>
  <c r="AC82" i="6"/>
  <c r="AC86" i="6"/>
  <c r="AC90" i="6"/>
  <c r="AC94" i="6"/>
  <c r="AC98" i="6"/>
  <c r="AC102" i="6"/>
  <c r="AC106" i="6"/>
  <c r="AC110" i="6"/>
  <c r="AC114" i="6"/>
  <c r="AC118" i="6"/>
  <c r="AC122" i="6"/>
  <c r="AC127" i="6"/>
  <c r="AC136" i="6"/>
  <c r="AC140" i="6"/>
  <c r="AC144" i="6"/>
  <c r="AC148" i="6"/>
  <c r="AC152" i="6"/>
  <c r="AC156" i="6"/>
  <c r="AC163" i="6"/>
  <c r="AC167" i="6"/>
  <c r="AC173" i="6"/>
  <c r="AC177" i="6"/>
  <c r="AC181" i="6"/>
  <c r="AC171" i="6"/>
  <c r="AC160" i="6"/>
  <c r="AC134" i="6"/>
  <c r="AC178" i="6"/>
  <c r="AC174" i="6"/>
  <c r="AC165" i="6"/>
  <c r="AC161" i="6"/>
  <c r="AC157" i="6"/>
  <c r="AC154" i="6"/>
  <c r="AC153" i="6"/>
  <c r="AC146" i="6"/>
  <c r="AC142" i="6"/>
  <c r="AC138" i="6"/>
  <c r="AC125" i="6"/>
  <c r="AC120" i="6"/>
  <c r="AC116" i="6"/>
  <c r="AC112" i="6"/>
  <c r="AC108" i="6"/>
  <c r="AC104" i="6"/>
  <c r="AC96" i="6"/>
  <c r="AC92" i="6"/>
  <c r="AC88" i="6"/>
  <c r="AC84" i="6"/>
  <c r="AC80" i="6"/>
  <c r="AC76" i="6"/>
  <c r="AC72" i="6"/>
  <c r="AC65" i="6"/>
  <c r="AC61" i="6"/>
  <c r="AC57" i="6"/>
  <c r="AC53" i="6"/>
  <c r="AC49" i="6"/>
  <c r="AC45" i="6"/>
  <c r="AC41" i="6"/>
  <c r="AC33" i="6"/>
  <c r="AC29" i="6"/>
  <c r="AC25" i="6"/>
  <c r="AC21" i="6"/>
  <c r="AC17" i="6"/>
  <c r="AC13" i="6"/>
  <c r="AC9" i="6"/>
  <c r="AC5" i="6"/>
  <c r="AC159" i="6"/>
  <c r="AC131" i="6"/>
  <c r="AC123" i="6"/>
  <c r="P69" i="6"/>
  <c r="Q69" i="6" s="1"/>
  <c r="Z69" i="6" s="1"/>
  <c r="P70" i="6"/>
  <c r="Q70" i="6" s="1"/>
  <c r="Z70" i="6" s="1"/>
  <c r="P71" i="6"/>
  <c r="Q71" i="6" s="1"/>
  <c r="Z71" i="6" s="1"/>
  <c r="P72" i="6"/>
  <c r="Q72" i="6" s="1"/>
  <c r="Z72" i="6" s="1"/>
  <c r="P73" i="6"/>
  <c r="Q73" i="6" s="1"/>
  <c r="Z73" i="6" s="1"/>
  <c r="P74" i="6"/>
  <c r="Q74" i="6" s="1"/>
  <c r="Z74" i="6" s="1"/>
  <c r="P75" i="6"/>
  <c r="Q75" i="6" s="1"/>
  <c r="Z75" i="6" s="1"/>
  <c r="P76" i="6"/>
  <c r="Q76" i="6" s="1"/>
  <c r="Z76" i="6" s="1"/>
  <c r="P77" i="6"/>
  <c r="Q77" i="6" s="1"/>
  <c r="Z77" i="6" s="1"/>
  <c r="P78" i="6"/>
  <c r="Q78" i="6" s="1"/>
  <c r="Z78" i="6" s="1"/>
  <c r="P79" i="6"/>
  <c r="Q79" i="6" s="1"/>
  <c r="Z79" i="6" s="1"/>
  <c r="P80" i="6"/>
  <c r="Q80" i="6" s="1"/>
  <c r="Z80" i="6" s="1"/>
  <c r="P81" i="6"/>
  <c r="Q81" i="6" s="1"/>
  <c r="Z81" i="6" s="1"/>
  <c r="P82" i="6"/>
  <c r="Q82" i="6" s="1"/>
  <c r="Z82" i="6" s="1"/>
  <c r="P83" i="6"/>
  <c r="Q83" i="6" s="1"/>
  <c r="Z83" i="6" s="1"/>
  <c r="P84" i="6"/>
  <c r="Q84" i="6" s="1"/>
  <c r="Z84" i="6" s="1"/>
  <c r="P85" i="6"/>
  <c r="Q85" i="6" s="1"/>
  <c r="Z85" i="6" s="1"/>
  <c r="P86" i="6"/>
  <c r="Q86" i="6" s="1"/>
  <c r="Z86" i="6" s="1"/>
  <c r="P87" i="6"/>
  <c r="Q87" i="6" s="1"/>
  <c r="Z87" i="6" s="1"/>
  <c r="P88" i="6"/>
  <c r="Q88" i="6" s="1"/>
  <c r="Z88" i="6" s="1"/>
  <c r="P89" i="6"/>
  <c r="Q89" i="6" s="1"/>
  <c r="Z89" i="6" s="1"/>
  <c r="P90" i="6"/>
  <c r="Q90" i="6" s="1"/>
  <c r="Z90" i="6" s="1"/>
  <c r="P91" i="6"/>
  <c r="Q91" i="6" s="1"/>
  <c r="Z91" i="6" s="1"/>
  <c r="P92" i="6"/>
  <c r="Q92" i="6" s="1"/>
  <c r="Z92" i="6" s="1"/>
  <c r="P93" i="6"/>
  <c r="Q93" i="6" s="1"/>
  <c r="Z93" i="6" s="1"/>
  <c r="P94" i="6"/>
  <c r="Q94" i="6" s="1"/>
  <c r="Z94" i="6" s="1"/>
  <c r="P95" i="6"/>
  <c r="Q95" i="6" s="1"/>
  <c r="Z95" i="6" s="1"/>
  <c r="P96" i="6"/>
  <c r="Q96" i="6" s="1"/>
  <c r="Z96" i="6" s="1"/>
  <c r="P97" i="6"/>
  <c r="Q97" i="6" s="1"/>
  <c r="Z97" i="6" s="1"/>
  <c r="P98" i="6"/>
  <c r="Q98" i="6" s="1"/>
  <c r="Z98" i="6" s="1"/>
  <c r="P99" i="6"/>
  <c r="Q99" i="6" s="1"/>
  <c r="Z99" i="6" s="1"/>
  <c r="P100" i="6"/>
  <c r="Q100" i="6" s="1"/>
  <c r="Z100" i="6" s="1"/>
  <c r="P101" i="6"/>
  <c r="Q101" i="6" s="1"/>
  <c r="Z101" i="6" s="1"/>
  <c r="P102" i="6"/>
  <c r="Q102" i="6" s="1"/>
  <c r="Z102" i="6" s="1"/>
  <c r="P103" i="6"/>
  <c r="Q103" i="6" s="1"/>
  <c r="Z103" i="6" s="1"/>
  <c r="P104" i="6"/>
  <c r="Q104" i="6" s="1"/>
  <c r="Z104" i="6" s="1"/>
  <c r="P105" i="6"/>
  <c r="Q105" i="6" s="1"/>
  <c r="Z105" i="6" s="1"/>
  <c r="P106" i="6"/>
  <c r="Q106" i="6" s="1"/>
  <c r="Z106" i="6" s="1"/>
  <c r="P107" i="6"/>
  <c r="Q107" i="6" s="1"/>
  <c r="Z107" i="6" s="1"/>
  <c r="P108" i="6"/>
  <c r="Q108" i="6" s="1"/>
  <c r="Z108" i="6" s="1"/>
  <c r="P109" i="6"/>
  <c r="Q109" i="6" s="1"/>
  <c r="Z109" i="6" s="1"/>
  <c r="P110" i="6"/>
  <c r="Q110" i="6" s="1"/>
  <c r="Z110" i="6" s="1"/>
  <c r="P111" i="6"/>
  <c r="Q111" i="6" s="1"/>
  <c r="Z111" i="6" s="1"/>
  <c r="P112" i="6"/>
  <c r="Q112" i="6" s="1"/>
  <c r="Z112" i="6" s="1"/>
  <c r="P113" i="6"/>
  <c r="Q113" i="6" s="1"/>
  <c r="Z113" i="6" s="1"/>
  <c r="P114" i="6"/>
  <c r="Q114" i="6" s="1"/>
  <c r="Z114" i="6" s="1"/>
  <c r="P115" i="6"/>
  <c r="Q115" i="6" s="1"/>
  <c r="Z115" i="6" s="1"/>
  <c r="P116" i="6"/>
  <c r="Q116" i="6" s="1"/>
  <c r="Z116" i="6" s="1"/>
  <c r="P117" i="6"/>
  <c r="Q117" i="6" s="1"/>
  <c r="Z117" i="6" s="1"/>
  <c r="P118" i="6"/>
  <c r="Q118" i="6" s="1"/>
  <c r="Z118" i="6" s="1"/>
  <c r="P119" i="6"/>
  <c r="Q119" i="6" s="1"/>
  <c r="Z119" i="6" s="1"/>
  <c r="P120" i="6"/>
  <c r="Q120" i="6" s="1"/>
  <c r="Z120" i="6" s="1"/>
  <c r="P121" i="6"/>
  <c r="Q121" i="6" s="1"/>
  <c r="Z121" i="6" s="1"/>
  <c r="P122" i="6"/>
  <c r="Q122" i="6" s="1"/>
  <c r="Z122" i="6" s="1"/>
  <c r="P123" i="6"/>
  <c r="Q123" i="6" s="1"/>
  <c r="Z123" i="6" s="1"/>
  <c r="P124" i="6"/>
  <c r="Q124" i="6" s="1"/>
  <c r="Z124" i="6" s="1"/>
  <c r="P125" i="6"/>
  <c r="Q125" i="6" s="1"/>
  <c r="Z125" i="6" s="1"/>
  <c r="P126" i="6"/>
  <c r="Q126" i="6" s="1"/>
  <c r="Z126" i="6" s="1"/>
  <c r="P127" i="6"/>
  <c r="Q127" i="6" s="1"/>
  <c r="Z127" i="6" s="1"/>
  <c r="P128" i="6"/>
  <c r="Q128" i="6" s="1"/>
  <c r="Z128" i="6" s="1"/>
  <c r="P129" i="6"/>
  <c r="Q129" i="6" s="1"/>
  <c r="Z129" i="6" s="1"/>
  <c r="P130" i="6"/>
  <c r="Q130" i="6" s="1"/>
  <c r="Z130" i="6" s="1"/>
  <c r="P131" i="6"/>
  <c r="Q131" i="6" s="1"/>
  <c r="Z131" i="6" s="1"/>
  <c r="P132" i="6"/>
  <c r="Q132" i="6" s="1"/>
  <c r="Z132" i="6" s="1"/>
  <c r="P133" i="6"/>
  <c r="Q133" i="6" s="1"/>
  <c r="Z133" i="6" s="1"/>
  <c r="P134" i="6"/>
  <c r="Q134" i="6" s="1"/>
  <c r="Z134" i="6" s="1"/>
  <c r="P135" i="6"/>
  <c r="Q135" i="6" s="1"/>
  <c r="Z135" i="6" s="1"/>
  <c r="P136" i="6"/>
  <c r="Q136" i="6" s="1"/>
  <c r="Z136" i="6" s="1"/>
  <c r="P137" i="6"/>
  <c r="Q137" i="6" s="1"/>
  <c r="Z137" i="6" s="1"/>
  <c r="P138" i="6"/>
  <c r="Q138" i="6" s="1"/>
  <c r="Z138" i="6" s="1"/>
  <c r="P139" i="6"/>
  <c r="Q139" i="6" s="1"/>
  <c r="Z139" i="6" s="1"/>
  <c r="P140" i="6"/>
  <c r="Q140" i="6" s="1"/>
  <c r="Z140" i="6" s="1"/>
  <c r="P141" i="6"/>
  <c r="Q141" i="6" s="1"/>
  <c r="Z141" i="6" s="1"/>
  <c r="P142" i="6"/>
  <c r="Q142" i="6" s="1"/>
  <c r="Z142" i="6" s="1"/>
  <c r="P143" i="6"/>
  <c r="Q143" i="6" s="1"/>
  <c r="Z143" i="6" s="1"/>
  <c r="P144" i="6"/>
  <c r="Q144" i="6" s="1"/>
  <c r="Z144" i="6" s="1"/>
  <c r="P145" i="6"/>
  <c r="Q145" i="6" s="1"/>
  <c r="Z145" i="6" s="1"/>
  <c r="P146" i="6"/>
  <c r="Q146" i="6" s="1"/>
  <c r="Z146" i="6" s="1"/>
  <c r="P147" i="6"/>
  <c r="Q147" i="6" s="1"/>
  <c r="Z147" i="6" s="1"/>
  <c r="P148" i="6"/>
  <c r="Q148" i="6" s="1"/>
  <c r="Z148" i="6" s="1"/>
  <c r="P149" i="6"/>
  <c r="Q149" i="6" s="1"/>
  <c r="Z149" i="6" s="1"/>
  <c r="P150" i="6"/>
  <c r="Q150" i="6" s="1"/>
  <c r="Z150" i="6" s="1"/>
  <c r="P151" i="6"/>
  <c r="Q151" i="6" s="1"/>
  <c r="Z151" i="6" s="1"/>
  <c r="P152" i="6"/>
  <c r="Q152" i="6" s="1"/>
  <c r="Z152" i="6" s="1"/>
  <c r="P153" i="6"/>
  <c r="Q153" i="6" s="1"/>
  <c r="Z153" i="6" s="1"/>
  <c r="P154" i="6"/>
  <c r="Q154" i="6" s="1"/>
  <c r="Z154" i="6" s="1"/>
  <c r="P155" i="6"/>
  <c r="Q155" i="6" s="1"/>
  <c r="Z155" i="6" s="1"/>
  <c r="P156" i="6"/>
  <c r="Q156" i="6" s="1"/>
  <c r="Z156" i="6" s="1"/>
  <c r="P157" i="6"/>
  <c r="Q157" i="6" s="1"/>
  <c r="Z157" i="6" s="1"/>
  <c r="P158" i="6"/>
  <c r="Q158" i="6" s="1"/>
  <c r="Z158" i="6" s="1"/>
  <c r="P159" i="6"/>
  <c r="Q159" i="6" s="1"/>
  <c r="Z159" i="6" s="1"/>
  <c r="P160" i="6"/>
  <c r="Q160" i="6" s="1"/>
  <c r="Z160" i="6" s="1"/>
  <c r="P161" i="6"/>
  <c r="Q161" i="6" s="1"/>
  <c r="Z161" i="6" s="1"/>
  <c r="P162" i="6"/>
  <c r="Q162" i="6" s="1"/>
  <c r="Z162" i="6" s="1"/>
  <c r="P163" i="6"/>
  <c r="Q163" i="6" s="1"/>
  <c r="Z163" i="6" s="1"/>
  <c r="P164" i="6"/>
  <c r="Q164" i="6" s="1"/>
  <c r="Z164" i="6" s="1"/>
  <c r="P165" i="6"/>
  <c r="Q165" i="6" s="1"/>
  <c r="Z165" i="6" s="1"/>
  <c r="P166" i="6"/>
  <c r="Q166" i="6" s="1"/>
  <c r="Z166" i="6" s="1"/>
  <c r="P167" i="6"/>
  <c r="Q167" i="6" s="1"/>
  <c r="Z167" i="6" s="1"/>
  <c r="P168" i="6"/>
  <c r="Q168" i="6" s="1"/>
  <c r="Z168" i="6" s="1"/>
  <c r="P169" i="6"/>
  <c r="Q169" i="6" s="1"/>
  <c r="Z169" i="6" s="1"/>
  <c r="P170" i="6"/>
  <c r="Q170" i="6" s="1"/>
  <c r="Z170" i="6" s="1"/>
  <c r="P171" i="6"/>
  <c r="Q171" i="6" s="1"/>
  <c r="Z171" i="6" s="1"/>
  <c r="P172" i="6"/>
  <c r="Q172" i="6" s="1"/>
  <c r="Z172" i="6" s="1"/>
  <c r="P173" i="6"/>
  <c r="Q173" i="6" s="1"/>
  <c r="Z173" i="6" s="1"/>
  <c r="P174" i="6"/>
  <c r="Q174" i="6" s="1"/>
  <c r="Z174" i="6" s="1"/>
  <c r="P175" i="6"/>
  <c r="Q175" i="6" s="1"/>
  <c r="Z175" i="6" s="1"/>
  <c r="P176" i="6"/>
  <c r="Q176" i="6" s="1"/>
  <c r="Z176" i="6" s="1"/>
  <c r="P177" i="6"/>
  <c r="Q177" i="6" s="1"/>
  <c r="Z177" i="6" s="1"/>
  <c r="P178" i="6"/>
  <c r="Q178" i="6" s="1"/>
  <c r="Z178" i="6" s="1"/>
  <c r="P179" i="6"/>
  <c r="Q179" i="6" s="1"/>
  <c r="Z179" i="6" s="1"/>
  <c r="P180" i="6"/>
  <c r="Q180" i="6" s="1"/>
  <c r="Z180" i="6" s="1"/>
  <c r="P181" i="6"/>
  <c r="Q181" i="6" s="1"/>
  <c r="Z181" i="6" s="1"/>
  <c r="K72" i="6"/>
  <c r="L72" i="6" s="1"/>
  <c r="K73" i="6"/>
  <c r="L73" i="6" s="1"/>
  <c r="K74" i="6"/>
  <c r="L74" i="6" s="1"/>
  <c r="K75" i="6"/>
  <c r="L75" i="6" s="1"/>
  <c r="K76" i="6"/>
  <c r="L76" i="6" s="1"/>
  <c r="AB76" i="6" s="1"/>
  <c r="K77" i="6"/>
  <c r="L77" i="6" s="1"/>
  <c r="AB77" i="6" s="1"/>
  <c r="K78" i="6"/>
  <c r="L78" i="6" s="1"/>
  <c r="K79" i="6"/>
  <c r="L79" i="6" s="1"/>
  <c r="K80" i="6"/>
  <c r="L80" i="6" s="1"/>
  <c r="AB80" i="6" s="1"/>
  <c r="K81" i="6"/>
  <c r="L81" i="6" s="1"/>
  <c r="AB81" i="6" s="1"/>
  <c r="K82" i="6"/>
  <c r="L82" i="6" s="1"/>
  <c r="K83" i="6"/>
  <c r="L83" i="6" s="1"/>
  <c r="AB83" i="6" s="1"/>
  <c r="K84" i="6"/>
  <c r="L84" i="6" s="1"/>
  <c r="AB84" i="6" s="1"/>
  <c r="K85" i="6"/>
  <c r="L85" i="6" s="1"/>
  <c r="AB85" i="6" s="1"/>
  <c r="K86" i="6"/>
  <c r="L86" i="6" s="1"/>
  <c r="K87" i="6"/>
  <c r="L87" i="6" s="1"/>
  <c r="AB87" i="6" s="1"/>
  <c r="K88" i="6"/>
  <c r="L88" i="6" s="1"/>
  <c r="AB88" i="6" s="1"/>
  <c r="K89" i="6"/>
  <c r="L89" i="6" s="1"/>
  <c r="AB89" i="6" s="1"/>
  <c r="K90" i="6"/>
  <c r="L90" i="6" s="1"/>
  <c r="AB90" i="6" s="1"/>
  <c r="K91" i="6"/>
  <c r="L91" i="6" s="1"/>
  <c r="AB91" i="6" s="1"/>
  <c r="K92" i="6"/>
  <c r="L92" i="6" s="1"/>
  <c r="K93" i="6"/>
  <c r="L93" i="6" s="1"/>
  <c r="AB93" i="6" s="1"/>
  <c r="K94" i="6"/>
  <c r="L94" i="6" s="1"/>
  <c r="K95" i="6"/>
  <c r="L95" i="6" s="1"/>
  <c r="K96" i="6"/>
  <c r="L96" i="6" s="1"/>
  <c r="K97" i="6"/>
  <c r="L97" i="6" s="1"/>
  <c r="AB97" i="6" s="1"/>
  <c r="K98" i="6"/>
  <c r="L98" i="6" s="1"/>
  <c r="K99" i="6"/>
  <c r="L99" i="6" s="1"/>
  <c r="K100" i="6"/>
  <c r="L100" i="6" s="1"/>
  <c r="AB100" i="6" s="1"/>
  <c r="K101" i="6"/>
  <c r="L101" i="6" s="1"/>
  <c r="AB101" i="6" s="1"/>
  <c r="K102" i="6"/>
  <c r="L102" i="6" s="1"/>
  <c r="K103" i="6"/>
  <c r="L103" i="6" s="1"/>
  <c r="K104" i="6"/>
  <c r="L104" i="6" s="1"/>
  <c r="AB104" i="6" s="1"/>
  <c r="K105" i="6"/>
  <c r="L105" i="6" s="1"/>
  <c r="AB105" i="6" s="1"/>
  <c r="K106" i="6"/>
  <c r="L106" i="6" s="1"/>
  <c r="AB106" i="6" s="1"/>
  <c r="K107" i="6"/>
  <c r="L107" i="6" s="1"/>
  <c r="AB107" i="6" s="1"/>
  <c r="K108" i="6"/>
  <c r="L108" i="6" s="1"/>
  <c r="AB108" i="6" s="1"/>
  <c r="K109" i="6"/>
  <c r="L109" i="6" s="1"/>
  <c r="K110" i="6"/>
  <c r="L110" i="6" s="1"/>
  <c r="K111" i="6"/>
  <c r="L111" i="6" s="1"/>
  <c r="AB111" i="6" s="1"/>
  <c r="K112" i="6"/>
  <c r="L112" i="6" s="1"/>
  <c r="AB112" i="6" s="1"/>
  <c r="K113" i="6"/>
  <c r="L113" i="6" s="1"/>
  <c r="AB113" i="6" s="1"/>
  <c r="K114" i="6"/>
  <c r="L114" i="6" s="1"/>
  <c r="K115" i="6"/>
  <c r="L115" i="6" s="1"/>
  <c r="AB115" i="6" s="1"/>
  <c r="K116" i="6"/>
  <c r="L116" i="6" s="1"/>
  <c r="AB116" i="6" s="1"/>
  <c r="K117" i="6"/>
  <c r="L117" i="6" s="1"/>
  <c r="AB117" i="6" s="1"/>
  <c r="K118" i="6"/>
  <c r="L118" i="6" s="1"/>
  <c r="K119" i="6"/>
  <c r="L119" i="6" s="1"/>
  <c r="K120" i="6"/>
  <c r="L120" i="6" s="1"/>
  <c r="AB120" i="6" s="1"/>
  <c r="K121" i="6"/>
  <c r="L121" i="6" s="1"/>
  <c r="AB121" i="6" s="1"/>
  <c r="K122" i="6"/>
  <c r="L122" i="6" s="1"/>
  <c r="AB122" i="6" s="1"/>
  <c r="K123" i="6"/>
  <c r="L123" i="6" s="1"/>
  <c r="K124" i="6"/>
  <c r="L124" i="6" s="1"/>
  <c r="AB124" i="6" s="1"/>
  <c r="K125" i="6"/>
  <c r="L125" i="6" s="1"/>
  <c r="AB125" i="6" s="1"/>
  <c r="K126" i="6"/>
  <c r="L126" i="6" s="1"/>
  <c r="AB126" i="6" s="1"/>
  <c r="K127" i="6"/>
  <c r="L127" i="6" s="1"/>
  <c r="K128" i="6"/>
  <c r="L128" i="6" s="1"/>
  <c r="AB128" i="6" s="1"/>
  <c r="K129" i="6"/>
  <c r="L129" i="6" s="1"/>
  <c r="AB129" i="6" s="1"/>
  <c r="K130" i="6"/>
  <c r="L130" i="6" s="1"/>
  <c r="AB130" i="6" s="1"/>
  <c r="K131" i="6"/>
  <c r="L131" i="6" s="1"/>
  <c r="K132" i="6"/>
  <c r="L132" i="6" s="1"/>
  <c r="AB132" i="6" s="1"/>
  <c r="K133" i="6"/>
  <c r="L133" i="6" s="1"/>
  <c r="AB133" i="6" s="1"/>
  <c r="K134" i="6"/>
  <c r="L134" i="6" s="1"/>
  <c r="AB134" i="6" s="1"/>
  <c r="K135" i="6"/>
  <c r="L135" i="6" s="1"/>
  <c r="AB135" i="6" s="1"/>
  <c r="K136" i="6"/>
  <c r="L136" i="6" s="1"/>
  <c r="K137" i="6"/>
  <c r="L137" i="6" s="1"/>
  <c r="AB137" i="6" s="1"/>
  <c r="K138" i="6"/>
  <c r="L138" i="6" s="1"/>
  <c r="AB138" i="6" s="1"/>
  <c r="K139" i="6"/>
  <c r="L139" i="6" s="1"/>
  <c r="AB139" i="6" s="1"/>
  <c r="K140" i="6"/>
  <c r="L140" i="6" s="1"/>
  <c r="AB140" i="6" s="1"/>
  <c r="K141" i="6"/>
  <c r="L141" i="6" s="1"/>
  <c r="AB141" i="6" s="1"/>
  <c r="K142" i="6"/>
  <c r="L142" i="6" s="1"/>
  <c r="M142" i="6" s="1"/>
  <c r="K143" i="6"/>
  <c r="L143" i="6" s="1"/>
  <c r="AB143" i="6" s="1"/>
  <c r="K144" i="6"/>
  <c r="L144" i="6" s="1"/>
  <c r="K145" i="6"/>
  <c r="L145" i="6" s="1"/>
  <c r="AB145" i="6" s="1"/>
  <c r="K146" i="6"/>
  <c r="L146" i="6" s="1"/>
  <c r="AB146" i="6" s="1"/>
  <c r="K147" i="6"/>
  <c r="L147" i="6" s="1"/>
  <c r="AB147" i="6" s="1"/>
  <c r="K148" i="6"/>
  <c r="L148" i="6" s="1"/>
  <c r="K149" i="6"/>
  <c r="L149" i="6" s="1"/>
  <c r="AB149" i="6" s="1"/>
  <c r="K150" i="6"/>
  <c r="L150" i="6" s="1"/>
  <c r="AB150" i="6" s="1"/>
  <c r="K151" i="6"/>
  <c r="L151" i="6" s="1"/>
  <c r="K152" i="6"/>
  <c r="L152" i="6" s="1"/>
  <c r="AB152" i="6" s="1"/>
  <c r="K153" i="6"/>
  <c r="L153" i="6" s="1"/>
  <c r="AB153" i="6" s="1"/>
  <c r="K154" i="6"/>
  <c r="L154" i="6" s="1"/>
  <c r="AB154" i="6" s="1"/>
  <c r="K155" i="6"/>
  <c r="L155" i="6" s="1"/>
  <c r="K156" i="6"/>
  <c r="L156" i="6" s="1"/>
  <c r="AB156" i="6" s="1"/>
  <c r="K157" i="6"/>
  <c r="L157" i="6" s="1"/>
  <c r="AB157" i="6" s="1"/>
  <c r="K158" i="6"/>
  <c r="L158" i="6" s="1"/>
  <c r="AB158" i="6" s="1"/>
  <c r="K159" i="6"/>
  <c r="L159" i="6" s="1"/>
  <c r="K160" i="6"/>
  <c r="L160" i="6" s="1"/>
  <c r="AB160" i="6" s="1"/>
  <c r="K161" i="6"/>
  <c r="L161" i="6" s="1"/>
  <c r="AB161" i="6" s="1"/>
  <c r="K162" i="6"/>
  <c r="L162" i="6" s="1"/>
  <c r="AB162" i="6" s="1"/>
  <c r="K163" i="6"/>
  <c r="L163" i="6" s="1"/>
  <c r="K164" i="6"/>
  <c r="L164" i="6" s="1"/>
  <c r="AB164" i="6" s="1"/>
  <c r="K165" i="6"/>
  <c r="L165" i="6" s="1"/>
  <c r="AB165" i="6" s="1"/>
  <c r="K166" i="6"/>
  <c r="L166" i="6" s="1"/>
  <c r="AB166" i="6" s="1"/>
  <c r="K167" i="6"/>
  <c r="L167" i="6" s="1"/>
  <c r="AB167" i="6" s="1"/>
  <c r="K168" i="6"/>
  <c r="L168" i="6" s="1"/>
  <c r="AB168" i="6" s="1"/>
  <c r="K169" i="6"/>
  <c r="L169" i="6" s="1"/>
  <c r="AB169" i="6" s="1"/>
  <c r="K170" i="6"/>
  <c r="L170" i="6" s="1"/>
  <c r="K171" i="6"/>
  <c r="L171" i="6" s="1"/>
  <c r="AB171" i="6" s="1"/>
  <c r="K172" i="6"/>
  <c r="L172" i="6" s="1"/>
  <c r="AB172" i="6" s="1"/>
  <c r="K173" i="6"/>
  <c r="L173" i="6" s="1"/>
  <c r="K174" i="6"/>
  <c r="L174" i="6" s="1"/>
  <c r="AB174" i="6" s="1"/>
  <c r="K175" i="6"/>
  <c r="L175" i="6" s="1"/>
  <c r="AB175" i="6" s="1"/>
  <c r="K176" i="6"/>
  <c r="L176" i="6" s="1"/>
  <c r="AB176" i="6" s="1"/>
  <c r="K177" i="6"/>
  <c r="L177" i="6" s="1"/>
  <c r="K178" i="6"/>
  <c r="L178" i="6" s="1"/>
  <c r="AB178" i="6" s="1"/>
  <c r="K179" i="6"/>
  <c r="L179" i="6" s="1"/>
  <c r="AB179" i="6" s="1"/>
  <c r="K180" i="6"/>
  <c r="L180" i="6" s="1"/>
  <c r="AB180" i="6" s="1"/>
  <c r="K181" i="6"/>
  <c r="L181" i="6" s="1"/>
  <c r="K68" i="6"/>
  <c r="L68" i="6" s="1"/>
  <c r="AB68" i="6" s="1"/>
  <c r="K69" i="6"/>
  <c r="L69" i="6" s="1"/>
  <c r="K70" i="6"/>
  <c r="L70" i="6" s="1"/>
  <c r="AB70" i="6" s="1"/>
  <c r="K71" i="6"/>
  <c r="L71" i="6" s="1"/>
  <c r="K67" i="6"/>
  <c r="L67" i="6" s="1"/>
  <c r="S181" i="6" l="1"/>
  <c r="AB142" i="6"/>
  <c r="S92" i="6"/>
  <c r="S119" i="6"/>
  <c r="S103" i="6"/>
  <c r="S99" i="6"/>
  <c r="S95" i="6"/>
  <c r="S79" i="6"/>
  <c r="S75" i="6"/>
  <c r="S73" i="6"/>
  <c r="S132" i="6"/>
  <c r="S84" i="6"/>
  <c r="S164" i="6"/>
  <c r="S145" i="6"/>
  <c r="S134" i="6"/>
  <c r="S100" i="6"/>
  <c r="S80" i="6"/>
  <c r="S157" i="6"/>
  <c r="S139" i="6"/>
  <c r="S172" i="6"/>
  <c r="S142" i="6"/>
  <c r="S126" i="6"/>
  <c r="S112" i="6"/>
  <c r="S171" i="6"/>
  <c r="S124" i="6"/>
  <c r="S156" i="6"/>
  <c r="S122" i="6"/>
  <c r="S88" i="6"/>
  <c r="S129" i="6"/>
  <c r="S105" i="6"/>
  <c r="S76" i="6"/>
  <c r="S165" i="6"/>
  <c r="S137" i="6"/>
  <c r="S107" i="6"/>
  <c r="S117" i="6"/>
  <c r="M82" i="6"/>
  <c r="AB82" i="6"/>
  <c r="S82" i="6"/>
  <c r="M74" i="6"/>
  <c r="AB74" i="6"/>
  <c r="W176" i="6"/>
  <c r="X176" i="6" s="1"/>
  <c r="U176" i="6"/>
  <c r="V176" i="6" s="1"/>
  <c r="U170" i="6"/>
  <c r="V170" i="6" s="1"/>
  <c r="W170" i="6"/>
  <c r="X170" i="6" s="1"/>
  <c r="U167" i="6"/>
  <c r="V167" i="6" s="1"/>
  <c r="W167" i="6"/>
  <c r="X167" i="6" s="1"/>
  <c r="U159" i="6"/>
  <c r="V159" i="6" s="1"/>
  <c r="W159" i="6"/>
  <c r="X159" i="6" s="1"/>
  <c r="W151" i="6"/>
  <c r="X151" i="6" s="1"/>
  <c r="U151" i="6"/>
  <c r="V151" i="6" s="1"/>
  <c r="W144" i="6"/>
  <c r="X144" i="6" s="1"/>
  <c r="U144" i="6"/>
  <c r="V144" i="6" s="1"/>
  <c r="W131" i="6"/>
  <c r="X131" i="6" s="1"/>
  <c r="U131" i="6"/>
  <c r="V131" i="6" s="1"/>
  <c r="W123" i="6"/>
  <c r="X123" i="6" s="1"/>
  <c r="U123" i="6"/>
  <c r="V123" i="6" s="1"/>
  <c r="W118" i="6"/>
  <c r="X118" i="6" s="1"/>
  <c r="U118" i="6"/>
  <c r="V118" i="6" s="1"/>
  <c r="W110" i="6"/>
  <c r="X110" i="6" s="1"/>
  <c r="U110" i="6"/>
  <c r="V110" i="6" s="1"/>
  <c r="U106" i="6"/>
  <c r="V106" i="6" s="1"/>
  <c r="W106" i="6"/>
  <c r="X106" i="6" s="1"/>
  <c r="U98" i="6"/>
  <c r="V98" i="6" s="1"/>
  <c r="W98" i="6"/>
  <c r="X98" i="6" s="1"/>
  <c r="W86" i="6"/>
  <c r="X86" i="6" s="1"/>
  <c r="U86" i="6"/>
  <c r="V86" i="6" s="1"/>
  <c r="W78" i="6"/>
  <c r="X78" i="6" s="1"/>
  <c r="U78" i="6"/>
  <c r="V78" i="6" s="1"/>
  <c r="W71" i="6"/>
  <c r="X71" i="6" s="1"/>
  <c r="U71" i="6"/>
  <c r="V71" i="6" s="1"/>
  <c r="M69" i="6"/>
  <c r="AB69" i="6"/>
  <c r="M155" i="6"/>
  <c r="AB155" i="6"/>
  <c r="M109" i="6"/>
  <c r="AB109" i="6"/>
  <c r="U179" i="6"/>
  <c r="V179" i="6" s="1"/>
  <c r="W179" i="6"/>
  <c r="X179" i="6" s="1"/>
  <c r="W172" i="6"/>
  <c r="X172" i="6" s="1"/>
  <c r="U172" i="6"/>
  <c r="V172" i="6" s="1"/>
  <c r="W162" i="6"/>
  <c r="X162" i="6" s="1"/>
  <c r="U162" i="6"/>
  <c r="V162" i="6" s="1"/>
  <c r="W155" i="6"/>
  <c r="X155" i="6" s="1"/>
  <c r="U155" i="6"/>
  <c r="V155" i="6" s="1"/>
  <c r="W150" i="6"/>
  <c r="X150" i="6" s="1"/>
  <c r="U150" i="6"/>
  <c r="V150" i="6" s="1"/>
  <c r="W143" i="6"/>
  <c r="X143" i="6" s="1"/>
  <c r="U143" i="6"/>
  <c r="V143" i="6" s="1"/>
  <c r="W130" i="6"/>
  <c r="X130" i="6" s="1"/>
  <c r="U130" i="6"/>
  <c r="V130" i="6" s="1"/>
  <c r="U126" i="6"/>
  <c r="V126" i="6" s="1"/>
  <c r="W126" i="6"/>
  <c r="X126" i="6" s="1"/>
  <c r="U121" i="6"/>
  <c r="V121" i="6" s="1"/>
  <c r="W121" i="6"/>
  <c r="X121" i="6" s="1"/>
  <c r="U113" i="6"/>
  <c r="V113" i="6" s="1"/>
  <c r="W113" i="6"/>
  <c r="X113" i="6" s="1"/>
  <c r="U105" i="6"/>
  <c r="V105" i="6" s="1"/>
  <c r="W105" i="6"/>
  <c r="X105" i="6" s="1"/>
  <c r="U97" i="6"/>
  <c r="V97" i="6" s="1"/>
  <c r="W97" i="6"/>
  <c r="X97" i="6" s="1"/>
  <c r="U89" i="6"/>
  <c r="V89" i="6" s="1"/>
  <c r="W89" i="6"/>
  <c r="X89" i="6" s="1"/>
  <c r="U81" i="6"/>
  <c r="V81" i="6" s="1"/>
  <c r="W81" i="6"/>
  <c r="X81" i="6" s="1"/>
  <c r="U73" i="6"/>
  <c r="V73" i="6" s="1"/>
  <c r="W73" i="6"/>
  <c r="X73" i="6" s="1"/>
  <c r="S140" i="6"/>
  <c r="S97" i="6"/>
  <c r="S130" i="6"/>
  <c r="M96" i="6"/>
  <c r="AB96" i="6"/>
  <c r="M92" i="6"/>
  <c r="AB92" i="6"/>
  <c r="M72" i="6"/>
  <c r="AB72" i="6"/>
  <c r="W178" i="6"/>
  <c r="X178" i="6" s="1"/>
  <c r="U178" i="6"/>
  <c r="V178" i="6" s="1"/>
  <c r="W174" i="6"/>
  <c r="X174" i="6" s="1"/>
  <c r="U174" i="6"/>
  <c r="V174" i="6" s="1"/>
  <c r="W165" i="6"/>
  <c r="X165" i="6" s="1"/>
  <c r="U165" i="6"/>
  <c r="V165" i="6" s="1"/>
  <c r="W161" i="6"/>
  <c r="X161" i="6" s="1"/>
  <c r="U161" i="6"/>
  <c r="V161" i="6" s="1"/>
  <c r="W157" i="6"/>
  <c r="X157" i="6" s="1"/>
  <c r="U157" i="6"/>
  <c r="V157" i="6" s="1"/>
  <c r="W154" i="6"/>
  <c r="X154" i="6" s="1"/>
  <c r="U154" i="6"/>
  <c r="V154" i="6" s="1"/>
  <c r="W153" i="6"/>
  <c r="X153" i="6" s="1"/>
  <c r="U153" i="6"/>
  <c r="V153" i="6" s="1"/>
  <c r="W149" i="6"/>
  <c r="X149" i="6" s="1"/>
  <c r="U149" i="6"/>
  <c r="V149" i="6" s="1"/>
  <c r="W146" i="6"/>
  <c r="X146" i="6" s="1"/>
  <c r="U146" i="6"/>
  <c r="V146" i="6" s="1"/>
  <c r="W142" i="6"/>
  <c r="X142" i="6" s="1"/>
  <c r="U142" i="6"/>
  <c r="V142" i="6" s="1"/>
  <c r="W138" i="6"/>
  <c r="X138" i="6" s="1"/>
  <c r="U138" i="6"/>
  <c r="V138" i="6" s="1"/>
  <c r="W135" i="6"/>
  <c r="X135" i="6" s="1"/>
  <c r="U135" i="6"/>
  <c r="V135" i="6" s="1"/>
  <c r="W129" i="6"/>
  <c r="X129" i="6" s="1"/>
  <c r="U129" i="6"/>
  <c r="V129" i="6" s="1"/>
  <c r="W125" i="6"/>
  <c r="X125" i="6" s="1"/>
  <c r="U125" i="6"/>
  <c r="V125" i="6" s="1"/>
  <c r="W120" i="6"/>
  <c r="X120" i="6" s="1"/>
  <c r="U120" i="6"/>
  <c r="V120" i="6" s="1"/>
  <c r="W116" i="6"/>
  <c r="X116" i="6" s="1"/>
  <c r="U116" i="6"/>
  <c r="V116" i="6" s="1"/>
  <c r="W112" i="6"/>
  <c r="X112" i="6" s="1"/>
  <c r="U112" i="6"/>
  <c r="V112" i="6" s="1"/>
  <c r="W108" i="6"/>
  <c r="X108" i="6" s="1"/>
  <c r="U108" i="6"/>
  <c r="V108" i="6" s="1"/>
  <c r="W104" i="6"/>
  <c r="X104" i="6" s="1"/>
  <c r="U104" i="6"/>
  <c r="V104" i="6" s="1"/>
  <c r="W100" i="6"/>
  <c r="X100" i="6" s="1"/>
  <c r="U100" i="6"/>
  <c r="V100" i="6" s="1"/>
  <c r="W96" i="6"/>
  <c r="X96" i="6" s="1"/>
  <c r="U96" i="6"/>
  <c r="V96" i="6" s="1"/>
  <c r="W92" i="6"/>
  <c r="X92" i="6" s="1"/>
  <c r="U92" i="6"/>
  <c r="V92" i="6" s="1"/>
  <c r="W88" i="6"/>
  <c r="X88" i="6" s="1"/>
  <c r="U88" i="6"/>
  <c r="V88" i="6" s="1"/>
  <c r="W84" i="6"/>
  <c r="X84" i="6" s="1"/>
  <c r="U84" i="6"/>
  <c r="V84" i="6" s="1"/>
  <c r="W80" i="6"/>
  <c r="X80" i="6" s="1"/>
  <c r="U80" i="6"/>
  <c r="V80" i="6" s="1"/>
  <c r="W76" i="6"/>
  <c r="X76" i="6" s="1"/>
  <c r="U76" i="6"/>
  <c r="V76" i="6" s="1"/>
  <c r="W72" i="6"/>
  <c r="X72" i="6" s="1"/>
  <c r="U72" i="6"/>
  <c r="V72" i="6" s="1"/>
  <c r="W69" i="6"/>
  <c r="X69" i="6" s="1"/>
  <c r="U69" i="6"/>
  <c r="V69" i="6" s="1"/>
  <c r="S160" i="6"/>
  <c r="S149" i="6"/>
  <c r="S90" i="6"/>
  <c r="S180" i="6"/>
  <c r="S96" i="6"/>
  <c r="S135" i="6"/>
  <c r="S89" i="6"/>
  <c r="S121" i="6"/>
  <c r="S153" i="6"/>
  <c r="S108" i="6"/>
  <c r="S155" i="6"/>
  <c r="S111" i="6"/>
  <c r="S83" i="6"/>
  <c r="S70" i="6"/>
  <c r="S116" i="6"/>
  <c r="S85" i="6"/>
  <c r="S93" i="6"/>
  <c r="AB173" i="6"/>
  <c r="S173" i="6"/>
  <c r="M170" i="6"/>
  <c r="AB170" i="6"/>
  <c r="AB163" i="6"/>
  <c r="S163" i="6"/>
  <c r="M159" i="6"/>
  <c r="AB159" i="6"/>
  <c r="AB151" i="6"/>
  <c r="S151" i="6"/>
  <c r="AB148" i="6"/>
  <c r="AB144" i="6"/>
  <c r="S144" i="6"/>
  <c r="M136" i="6"/>
  <c r="AB136" i="6"/>
  <c r="S136" i="6"/>
  <c r="AB131" i="6"/>
  <c r="M127" i="6"/>
  <c r="AB127" i="6"/>
  <c r="S127" i="6"/>
  <c r="AB123" i="6"/>
  <c r="AB118" i="6"/>
  <c r="S118" i="6"/>
  <c r="M114" i="6"/>
  <c r="AB114" i="6"/>
  <c r="S114" i="6"/>
  <c r="AB110" i="6"/>
  <c r="S110" i="6"/>
  <c r="AB102" i="6"/>
  <c r="S102" i="6"/>
  <c r="AB98" i="6"/>
  <c r="S98" i="6"/>
  <c r="AB94" i="6"/>
  <c r="S94" i="6"/>
  <c r="AB86" i="6"/>
  <c r="S86" i="6"/>
  <c r="AB78" i="6"/>
  <c r="S78" i="6"/>
  <c r="U180" i="6"/>
  <c r="V180" i="6" s="1"/>
  <c r="W180" i="6"/>
  <c r="X180" i="6" s="1"/>
  <c r="W173" i="6"/>
  <c r="X173" i="6" s="1"/>
  <c r="U173" i="6"/>
  <c r="V173" i="6" s="1"/>
  <c r="W163" i="6"/>
  <c r="X163" i="6" s="1"/>
  <c r="U163" i="6"/>
  <c r="V163" i="6" s="1"/>
  <c r="U148" i="6"/>
  <c r="V148" i="6" s="1"/>
  <c r="W148" i="6"/>
  <c r="X148" i="6" s="1"/>
  <c r="W140" i="6"/>
  <c r="X140" i="6" s="1"/>
  <c r="U140" i="6"/>
  <c r="V140" i="6" s="1"/>
  <c r="U136" i="6"/>
  <c r="V136" i="6" s="1"/>
  <c r="W136" i="6"/>
  <c r="X136" i="6" s="1"/>
  <c r="U133" i="6"/>
  <c r="V133" i="6" s="1"/>
  <c r="W133" i="6"/>
  <c r="X133" i="6" s="1"/>
  <c r="U127" i="6"/>
  <c r="V127" i="6" s="1"/>
  <c r="W127" i="6"/>
  <c r="X127" i="6" s="1"/>
  <c r="U114" i="6"/>
  <c r="V114" i="6" s="1"/>
  <c r="W114" i="6"/>
  <c r="X114" i="6" s="1"/>
  <c r="W102" i="6"/>
  <c r="X102" i="6" s="1"/>
  <c r="U102" i="6"/>
  <c r="V102" i="6" s="1"/>
  <c r="W94" i="6"/>
  <c r="X94" i="6" s="1"/>
  <c r="U94" i="6"/>
  <c r="V94" i="6" s="1"/>
  <c r="U90" i="6"/>
  <c r="V90" i="6" s="1"/>
  <c r="W90" i="6"/>
  <c r="X90" i="6" s="1"/>
  <c r="W82" i="6"/>
  <c r="X82" i="6" s="1"/>
  <c r="U82" i="6"/>
  <c r="V82" i="6" s="1"/>
  <c r="U74" i="6"/>
  <c r="V74" i="6" s="1"/>
  <c r="W74" i="6"/>
  <c r="X74" i="6" s="1"/>
  <c r="S133" i="6"/>
  <c r="AB67" i="6"/>
  <c r="M73" i="6"/>
  <c r="AB73" i="6"/>
  <c r="U175" i="6"/>
  <c r="V175" i="6" s="1"/>
  <c r="W175" i="6"/>
  <c r="X175" i="6" s="1"/>
  <c r="U169" i="6"/>
  <c r="V169" i="6" s="1"/>
  <c r="W169" i="6"/>
  <c r="X169" i="6" s="1"/>
  <c r="U166" i="6"/>
  <c r="V166" i="6" s="1"/>
  <c r="W166" i="6"/>
  <c r="X166" i="6" s="1"/>
  <c r="U158" i="6"/>
  <c r="V158" i="6" s="1"/>
  <c r="W158" i="6"/>
  <c r="X158" i="6" s="1"/>
  <c r="U147" i="6"/>
  <c r="V147" i="6" s="1"/>
  <c r="W147" i="6"/>
  <c r="X147" i="6" s="1"/>
  <c r="U139" i="6"/>
  <c r="V139" i="6" s="1"/>
  <c r="W139" i="6"/>
  <c r="X139" i="6" s="1"/>
  <c r="U132" i="6"/>
  <c r="V132" i="6" s="1"/>
  <c r="W132" i="6"/>
  <c r="X132" i="6" s="1"/>
  <c r="W117" i="6"/>
  <c r="X117" i="6" s="1"/>
  <c r="U117" i="6"/>
  <c r="V117" i="6" s="1"/>
  <c r="W109" i="6"/>
  <c r="X109" i="6" s="1"/>
  <c r="U109" i="6"/>
  <c r="V109" i="6" s="1"/>
  <c r="W101" i="6"/>
  <c r="X101" i="6" s="1"/>
  <c r="U101" i="6"/>
  <c r="V101" i="6" s="1"/>
  <c r="W93" i="6"/>
  <c r="X93" i="6" s="1"/>
  <c r="U93" i="6"/>
  <c r="V93" i="6" s="1"/>
  <c r="W85" i="6"/>
  <c r="X85" i="6" s="1"/>
  <c r="U85" i="6"/>
  <c r="V85" i="6" s="1"/>
  <c r="W77" i="6"/>
  <c r="X77" i="6" s="1"/>
  <c r="U77" i="6"/>
  <c r="V77" i="6" s="1"/>
  <c r="W70" i="6"/>
  <c r="X70" i="6" s="1"/>
  <c r="U70" i="6"/>
  <c r="V70" i="6" s="1"/>
  <c r="S74" i="6"/>
  <c r="S179" i="6"/>
  <c r="S77" i="6"/>
  <c r="AB71" i="6"/>
  <c r="S71" i="6"/>
  <c r="M181" i="6"/>
  <c r="AB181" i="6"/>
  <c r="M177" i="6"/>
  <c r="AB177" i="6"/>
  <c r="M119" i="6"/>
  <c r="AB119" i="6"/>
  <c r="M103" i="6"/>
  <c r="AB103" i="6"/>
  <c r="M99" i="6"/>
  <c r="AB99" i="6"/>
  <c r="M95" i="6"/>
  <c r="AB95" i="6"/>
  <c r="M79" i="6"/>
  <c r="AB79" i="6"/>
  <c r="M75" i="6"/>
  <c r="AB75" i="6"/>
  <c r="W181" i="6"/>
  <c r="X181" i="6" s="1"/>
  <c r="U181" i="6"/>
  <c r="V181" i="6" s="1"/>
  <c r="W177" i="6"/>
  <c r="X177" i="6" s="1"/>
  <c r="U177" i="6"/>
  <c r="V177" i="6" s="1"/>
  <c r="W171" i="6"/>
  <c r="X171" i="6" s="1"/>
  <c r="U171" i="6"/>
  <c r="V171" i="6" s="1"/>
  <c r="W168" i="6"/>
  <c r="X168" i="6" s="1"/>
  <c r="U168" i="6"/>
  <c r="V168" i="6" s="1"/>
  <c r="W164" i="6"/>
  <c r="X164" i="6" s="1"/>
  <c r="U164" i="6"/>
  <c r="V164" i="6" s="1"/>
  <c r="W160" i="6"/>
  <c r="X160" i="6" s="1"/>
  <c r="U160" i="6"/>
  <c r="V160" i="6" s="1"/>
  <c r="W156" i="6"/>
  <c r="X156" i="6" s="1"/>
  <c r="U156" i="6"/>
  <c r="V156" i="6" s="1"/>
  <c r="W152" i="6"/>
  <c r="X152" i="6" s="1"/>
  <c r="U152" i="6"/>
  <c r="V152" i="6" s="1"/>
  <c r="W145" i="6"/>
  <c r="X145" i="6" s="1"/>
  <c r="U145" i="6"/>
  <c r="V145" i="6" s="1"/>
  <c r="W141" i="6"/>
  <c r="X141" i="6" s="1"/>
  <c r="U141" i="6"/>
  <c r="V141" i="6" s="1"/>
  <c r="W137" i="6"/>
  <c r="X137" i="6" s="1"/>
  <c r="U137" i="6"/>
  <c r="V137" i="6" s="1"/>
  <c r="W134" i="6"/>
  <c r="X134" i="6" s="1"/>
  <c r="U134" i="6"/>
  <c r="V134" i="6" s="1"/>
  <c r="W128" i="6"/>
  <c r="X128" i="6" s="1"/>
  <c r="U128" i="6"/>
  <c r="V128" i="6" s="1"/>
  <c r="W124" i="6"/>
  <c r="X124" i="6" s="1"/>
  <c r="U124" i="6"/>
  <c r="V124" i="6" s="1"/>
  <c r="W122" i="6"/>
  <c r="X122" i="6" s="1"/>
  <c r="U122" i="6"/>
  <c r="V122" i="6" s="1"/>
  <c r="W119" i="6"/>
  <c r="X119" i="6" s="1"/>
  <c r="U119" i="6"/>
  <c r="V119" i="6" s="1"/>
  <c r="W115" i="6"/>
  <c r="X115" i="6" s="1"/>
  <c r="U115" i="6"/>
  <c r="V115" i="6" s="1"/>
  <c r="W111" i="6"/>
  <c r="X111" i="6" s="1"/>
  <c r="U111" i="6"/>
  <c r="V111" i="6" s="1"/>
  <c r="W107" i="6"/>
  <c r="X107" i="6" s="1"/>
  <c r="U107" i="6"/>
  <c r="V107" i="6" s="1"/>
  <c r="W103" i="6"/>
  <c r="X103" i="6" s="1"/>
  <c r="U103" i="6"/>
  <c r="V103" i="6" s="1"/>
  <c r="W99" i="6"/>
  <c r="X99" i="6" s="1"/>
  <c r="U99" i="6"/>
  <c r="V99" i="6" s="1"/>
  <c r="W95" i="6"/>
  <c r="X95" i="6" s="1"/>
  <c r="U95" i="6"/>
  <c r="V95" i="6" s="1"/>
  <c r="W91" i="6"/>
  <c r="X91" i="6" s="1"/>
  <c r="U91" i="6"/>
  <c r="V91" i="6" s="1"/>
  <c r="W87" i="6"/>
  <c r="X87" i="6" s="1"/>
  <c r="U87" i="6"/>
  <c r="V87" i="6" s="1"/>
  <c r="W83" i="6"/>
  <c r="X83" i="6" s="1"/>
  <c r="U83" i="6"/>
  <c r="V83" i="6" s="1"/>
  <c r="W79" i="6"/>
  <c r="X79" i="6" s="1"/>
  <c r="U79" i="6"/>
  <c r="V79" i="6" s="1"/>
  <c r="W75" i="6"/>
  <c r="X75" i="6" s="1"/>
  <c r="U75" i="6"/>
  <c r="V75" i="6" s="1"/>
  <c r="S106" i="6"/>
  <c r="S176" i="6"/>
  <c r="S174" i="6"/>
  <c r="S177" i="6"/>
  <c r="S152" i="6"/>
  <c r="S104" i="6"/>
  <c r="S138" i="6"/>
  <c r="S81" i="6"/>
  <c r="S113" i="6"/>
  <c r="S147" i="6"/>
  <c r="S154" i="6"/>
  <c r="S162" i="6"/>
  <c r="S178" i="6"/>
  <c r="S125" i="6"/>
  <c r="S141" i="6"/>
  <c r="S115" i="6"/>
  <c r="S87" i="6"/>
  <c r="S128" i="6"/>
  <c r="S91" i="6"/>
  <c r="S101" i="6"/>
  <c r="S109" i="6"/>
  <c r="M71" i="6"/>
  <c r="M171" i="6"/>
  <c r="M164" i="6"/>
  <c r="M160" i="6"/>
  <c r="M156" i="6"/>
  <c r="M152" i="6"/>
  <c r="M145" i="6"/>
  <c r="M141" i="6"/>
  <c r="M137" i="6"/>
  <c r="M134" i="6"/>
  <c r="M128" i="6"/>
  <c r="M124" i="6"/>
  <c r="M122" i="6"/>
  <c r="M115" i="6"/>
  <c r="M111" i="6"/>
  <c r="M107" i="6"/>
  <c r="M91" i="6"/>
  <c r="M87" i="6"/>
  <c r="M83" i="6"/>
  <c r="M70" i="6"/>
  <c r="M180" i="6"/>
  <c r="M176" i="6"/>
  <c r="M173" i="6"/>
  <c r="M163" i="6"/>
  <c r="M151" i="6"/>
  <c r="M144" i="6"/>
  <c r="M140" i="6"/>
  <c r="M133" i="6"/>
  <c r="M131" i="6"/>
  <c r="M123" i="6"/>
  <c r="M118" i="6"/>
  <c r="M110" i="6"/>
  <c r="M106" i="6"/>
  <c r="M102" i="6"/>
  <c r="M98" i="6"/>
  <c r="M94" i="6"/>
  <c r="M90" i="6"/>
  <c r="M86" i="6"/>
  <c r="M78" i="6"/>
  <c r="M179" i="6"/>
  <c r="M172" i="6"/>
  <c r="M169" i="6"/>
  <c r="M162" i="6"/>
  <c r="M158" i="6"/>
  <c r="M147" i="6"/>
  <c r="M139" i="6"/>
  <c r="M132" i="6"/>
  <c r="M130" i="6"/>
  <c r="M126" i="6"/>
  <c r="M121" i="6"/>
  <c r="M117" i="6"/>
  <c r="M113" i="6"/>
  <c r="M105" i="6"/>
  <c r="M101" i="6"/>
  <c r="M97" i="6"/>
  <c r="M93" i="6"/>
  <c r="M89" i="6"/>
  <c r="M85" i="6"/>
  <c r="M81" i="6"/>
  <c r="M77" i="6"/>
  <c r="M68" i="6"/>
  <c r="M178" i="6"/>
  <c r="M174" i="6"/>
  <c r="M165" i="6"/>
  <c r="M161" i="6"/>
  <c r="M157" i="6"/>
  <c r="M154" i="6"/>
  <c r="M153" i="6"/>
  <c r="M149" i="6"/>
  <c r="M138" i="6"/>
  <c r="M135" i="6"/>
  <c r="M129" i="6"/>
  <c r="M125" i="6"/>
  <c r="M116" i="6"/>
  <c r="M112" i="6"/>
  <c r="M108" i="6"/>
  <c r="M104" i="6"/>
  <c r="M100" i="6"/>
  <c r="M88" i="6"/>
  <c r="M84" i="6"/>
  <c r="M80" i="6"/>
  <c r="M76" i="6"/>
  <c r="P68" i="6"/>
  <c r="Q68" i="6" s="1"/>
  <c r="P67" i="6"/>
  <c r="Q67" i="6" s="1"/>
  <c r="M67" i="6"/>
  <c r="P66" i="6"/>
  <c r="Q66" i="6" s="1"/>
  <c r="Z66" i="6" s="1"/>
  <c r="K66" i="6"/>
  <c r="L66" i="6" s="1"/>
  <c r="P65" i="6"/>
  <c r="Q65" i="6" s="1"/>
  <c r="Z65" i="6" s="1"/>
  <c r="K65" i="6"/>
  <c r="L65" i="6" s="1"/>
  <c r="P64" i="6"/>
  <c r="Q64" i="6" s="1"/>
  <c r="Z64" i="6" s="1"/>
  <c r="K64" i="6"/>
  <c r="L64" i="6" s="1"/>
  <c r="P63" i="6"/>
  <c r="Q63" i="6" s="1"/>
  <c r="Z63" i="6" s="1"/>
  <c r="K63" i="6"/>
  <c r="L63" i="6" s="1"/>
  <c r="P62" i="6"/>
  <c r="Q62" i="6" s="1"/>
  <c r="Z62" i="6" s="1"/>
  <c r="K62" i="6"/>
  <c r="L62" i="6" s="1"/>
  <c r="P61" i="6"/>
  <c r="Q61" i="6" s="1"/>
  <c r="Z61" i="6" s="1"/>
  <c r="K61" i="6"/>
  <c r="L61" i="6" s="1"/>
  <c r="P60" i="6"/>
  <c r="Q60" i="6" s="1"/>
  <c r="Z60" i="6" s="1"/>
  <c r="K60" i="6"/>
  <c r="L60" i="6" s="1"/>
  <c r="P59" i="6"/>
  <c r="Q59" i="6" s="1"/>
  <c r="Z59" i="6" s="1"/>
  <c r="K59" i="6"/>
  <c r="L59" i="6" s="1"/>
  <c r="P58" i="6"/>
  <c r="Q58" i="6" s="1"/>
  <c r="Z58" i="6" s="1"/>
  <c r="K58" i="6"/>
  <c r="L58" i="6" s="1"/>
  <c r="P57" i="6"/>
  <c r="Q57" i="6" s="1"/>
  <c r="Z57" i="6" s="1"/>
  <c r="K57" i="6"/>
  <c r="L57" i="6" s="1"/>
  <c r="P56" i="6"/>
  <c r="Q56" i="6" s="1"/>
  <c r="Z56" i="6" s="1"/>
  <c r="K56" i="6"/>
  <c r="L56" i="6" s="1"/>
  <c r="P55" i="6"/>
  <c r="Q55" i="6" s="1"/>
  <c r="Z55" i="6" s="1"/>
  <c r="K55" i="6"/>
  <c r="L55" i="6" s="1"/>
  <c r="P54" i="6"/>
  <c r="Q54" i="6" s="1"/>
  <c r="Z54" i="6" s="1"/>
  <c r="K54" i="6"/>
  <c r="L54" i="6" s="1"/>
  <c r="P53" i="6"/>
  <c r="Q53" i="6" s="1"/>
  <c r="Z53" i="6" s="1"/>
  <c r="K53" i="6"/>
  <c r="L53" i="6" s="1"/>
  <c r="P52" i="6"/>
  <c r="Q52" i="6" s="1"/>
  <c r="Z52" i="6" s="1"/>
  <c r="K52" i="6"/>
  <c r="L52" i="6" s="1"/>
  <c r="P51" i="6"/>
  <c r="Q51" i="6" s="1"/>
  <c r="Z51" i="6" s="1"/>
  <c r="K51" i="6"/>
  <c r="L51" i="6" s="1"/>
  <c r="P50" i="6"/>
  <c r="Q50" i="6" s="1"/>
  <c r="Z50" i="6" s="1"/>
  <c r="K50" i="6"/>
  <c r="L50" i="6" s="1"/>
  <c r="P49" i="6"/>
  <c r="Q49" i="6" s="1"/>
  <c r="Z49" i="6" s="1"/>
  <c r="K49" i="6"/>
  <c r="L49" i="6" s="1"/>
  <c r="P48" i="6"/>
  <c r="Q48" i="6" s="1"/>
  <c r="Z48" i="6" s="1"/>
  <c r="K48" i="6"/>
  <c r="L48" i="6" s="1"/>
  <c r="P47" i="6"/>
  <c r="Q47" i="6" s="1"/>
  <c r="Z47" i="6" s="1"/>
  <c r="K47" i="6"/>
  <c r="L47" i="6" s="1"/>
  <c r="P46" i="6"/>
  <c r="Q46" i="6" s="1"/>
  <c r="Z46" i="6" s="1"/>
  <c r="K46" i="6"/>
  <c r="L46" i="6" s="1"/>
  <c r="P45" i="6"/>
  <c r="Q45" i="6" s="1"/>
  <c r="Z45" i="6" s="1"/>
  <c r="K45" i="6"/>
  <c r="L45" i="6" s="1"/>
  <c r="P44" i="6"/>
  <c r="Q44" i="6" s="1"/>
  <c r="Z44" i="6" s="1"/>
  <c r="K44" i="6"/>
  <c r="L44" i="6" s="1"/>
  <c r="P43" i="6"/>
  <c r="Q43" i="6" s="1"/>
  <c r="Z43" i="6" s="1"/>
  <c r="K43" i="6"/>
  <c r="L43" i="6" s="1"/>
  <c r="P42" i="6"/>
  <c r="Q42" i="6" s="1"/>
  <c r="Z42" i="6" s="1"/>
  <c r="K42" i="6"/>
  <c r="L42" i="6" s="1"/>
  <c r="P41" i="6"/>
  <c r="Q41" i="6" s="1"/>
  <c r="Z41" i="6" s="1"/>
  <c r="K41" i="6"/>
  <c r="L41" i="6" s="1"/>
  <c r="P40" i="6"/>
  <c r="Q40" i="6" s="1"/>
  <c r="Z40" i="6" s="1"/>
  <c r="K40" i="6"/>
  <c r="L40" i="6" s="1"/>
  <c r="P39" i="6"/>
  <c r="Q39" i="6" s="1"/>
  <c r="Z39" i="6" s="1"/>
  <c r="K39" i="6"/>
  <c r="L39" i="6" s="1"/>
  <c r="P38" i="6"/>
  <c r="Q38" i="6" s="1"/>
  <c r="Z38" i="6" s="1"/>
  <c r="K38" i="6"/>
  <c r="L38" i="6" s="1"/>
  <c r="P37" i="6"/>
  <c r="Q37" i="6" s="1"/>
  <c r="Z37" i="6" s="1"/>
  <c r="K37" i="6"/>
  <c r="L37" i="6" s="1"/>
  <c r="P36" i="6"/>
  <c r="Q36" i="6" s="1"/>
  <c r="Z36" i="6" s="1"/>
  <c r="K36" i="6"/>
  <c r="L36" i="6" s="1"/>
  <c r="P35" i="6"/>
  <c r="Q35" i="6" s="1"/>
  <c r="Z35" i="6" s="1"/>
  <c r="K35" i="6"/>
  <c r="L35" i="6" s="1"/>
  <c r="P34" i="6"/>
  <c r="Q34" i="6" s="1"/>
  <c r="Z34" i="6" s="1"/>
  <c r="K34" i="6"/>
  <c r="L34" i="6" s="1"/>
  <c r="P33" i="6"/>
  <c r="Q33" i="6" s="1"/>
  <c r="Z33" i="6" s="1"/>
  <c r="K33" i="6"/>
  <c r="L33" i="6" s="1"/>
  <c r="P32" i="6"/>
  <c r="Q32" i="6" s="1"/>
  <c r="Z32" i="6" s="1"/>
  <c r="K32" i="6"/>
  <c r="L32" i="6" s="1"/>
  <c r="P31" i="6"/>
  <c r="Q31" i="6" s="1"/>
  <c r="Z31" i="6" s="1"/>
  <c r="K31" i="6"/>
  <c r="L31" i="6" s="1"/>
  <c r="P30" i="6"/>
  <c r="Q30" i="6" s="1"/>
  <c r="Z30" i="6" s="1"/>
  <c r="K30" i="6"/>
  <c r="L30" i="6" s="1"/>
  <c r="P29" i="6"/>
  <c r="Q29" i="6" s="1"/>
  <c r="Z29" i="6" s="1"/>
  <c r="K29" i="6"/>
  <c r="L29" i="6" s="1"/>
  <c r="P28" i="6"/>
  <c r="Q28" i="6" s="1"/>
  <c r="Z28" i="6" s="1"/>
  <c r="K28" i="6"/>
  <c r="L28" i="6" s="1"/>
  <c r="P27" i="6"/>
  <c r="Q27" i="6" s="1"/>
  <c r="Z27" i="6" s="1"/>
  <c r="K27" i="6"/>
  <c r="L27" i="6" s="1"/>
  <c r="P26" i="6"/>
  <c r="Q26" i="6" s="1"/>
  <c r="Z26" i="6" s="1"/>
  <c r="K26" i="6"/>
  <c r="L26" i="6" s="1"/>
  <c r="P25" i="6"/>
  <c r="Q25" i="6" s="1"/>
  <c r="Z25" i="6" s="1"/>
  <c r="K25" i="6"/>
  <c r="L25" i="6" s="1"/>
  <c r="P24" i="6"/>
  <c r="Q24" i="6" s="1"/>
  <c r="Z24" i="6" s="1"/>
  <c r="K24" i="6"/>
  <c r="L24" i="6" s="1"/>
  <c r="P23" i="6"/>
  <c r="Q23" i="6" s="1"/>
  <c r="Z23" i="6" s="1"/>
  <c r="K23" i="6"/>
  <c r="L23" i="6" s="1"/>
  <c r="P22" i="6"/>
  <c r="Q22" i="6" s="1"/>
  <c r="Z22" i="6" s="1"/>
  <c r="K22" i="6"/>
  <c r="L22" i="6" s="1"/>
  <c r="P21" i="6"/>
  <c r="Q21" i="6" s="1"/>
  <c r="Z21" i="6" s="1"/>
  <c r="K21" i="6"/>
  <c r="L21" i="6" s="1"/>
  <c r="P20" i="6"/>
  <c r="Q20" i="6" s="1"/>
  <c r="Z20" i="6" s="1"/>
  <c r="K20" i="6"/>
  <c r="L20" i="6" s="1"/>
  <c r="P19" i="6"/>
  <c r="Q19" i="6" s="1"/>
  <c r="Z19" i="6" s="1"/>
  <c r="K19" i="6"/>
  <c r="L19" i="6" s="1"/>
  <c r="P18" i="6"/>
  <c r="Q18" i="6" s="1"/>
  <c r="Z18" i="6" s="1"/>
  <c r="K18" i="6"/>
  <c r="L18" i="6" s="1"/>
  <c r="P17" i="6"/>
  <c r="Q17" i="6" s="1"/>
  <c r="Z17" i="6" s="1"/>
  <c r="K17" i="6"/>
  <c r="L17" i="6" s="1"/>
  <c r="P16" i="6"/>
  <c r="Q16" i="6" s="1"/>
  <c r="Z16" i="6" s="1"/>
  <c r="K16" i="6"/>
  <c r="L16" i="6" s="1"/>
  <c r="P15" i="6"/>
  <c r="Q15" i="6" s="1"/>
  <c r="Z15" i="6" s="1"/>
  <c r="K15" i="6"/>
  <c r="L15" i="6" s="1"/>
  <c r="P14" i="6"/>
  <c r="Q14" i="6" s="1"/>
  <c r="Z14" i="6" s="1"/>
  <c r="K14" i="6"/>
  <c r="L14" i="6" s="1"/>
  <c r="P13" i="6"/>
  <c r="Q13" i="6" s="1"/>
  <c r="Z13" i="6" s="1"/>
  <c r="K13" i="6"/>
  <c r="L13" i="6" s="1"/>
  <c r="P12" i="6"/>
  <c r="Q12" i="6" s="1"/>
  <c r="Z12" i="6" s="1"/>
  <c r="K12" i="6"/>
  <c r="L12" i="6" s="1"/>
  <c r="P11" i="6"/>
  <c r="Q11" i="6" s="1"/>
  <c r="Z11" i="6" s="1"/>
  <c r="K11" i="6"/>
  <c r="L11" i="6" s="1"/>
  <c r="P10" i="6"/>
  <c r="Q10" i="6" s="1"/>
  <c r="Z10" i="6" s="1"/>
  <c r="K10" i="6"/>
  <c r="L10" i="6" s="1"/>
  <c r="P9" i="6"/>
  <c r="Q9" i="6" s="1"/>
  <c r="Z9" i="6" s="1"/>
  <c r="K9" i="6"/>
  <c r="L9" i="6" s="1"/>
  <c r="P8" i="6"/>
  <c r="Q8" i="6" s="1"/>
  <c r="Z8" i="6" s="1"/>
  <c r="K8" i="6"/>
  <c r="L8" i="6" s="1"/>
  <c r="P7" i="6"/>
  <c r="Q7" i="6" s="1"/>
  <c r="Z7" i="6" s="1"/>
  <c r="K7" i="6"/>
  <c r="L7" i="6" s="1"/>
  <c r="P6" i="6"/>
  <c r="Q6" i="6" s="1"/>
  <c r="Z6" i="6" s="1"/>
  <c r="K6" i="6"/>
  <c r="L6" i="6" s="1"/>
  <c r="P5" i="6"/>
  <c r="Q5" i="6" s="1"/>
  <c r="Z5" i="6" s="1"/>
  <c r="K5" i="6"/>
  <c r="L5" i="6" s="1"/>
  <c r="P4" i="6"/>
  <c r="Q4" i="6" s="1"/>
  <c r="Z4" i="6" s="1"/>
  <c r="K4" i="6"/>
  <c r="L4" i="6" s="1"/>
  <c r="P3" i="6"/>
  <c r="Q3" i="6" s="1"/>
  <c r="Z3" i="6" s="1"/>
  <c r="K3" i="6"/>
  <c r="L3" i="6" s="1"/>
  <c r="G3" i="6"/>
  <c r="H3" i="6" s="1"/>
  <c r="S67" i="6" l="1"/>
  <c r="Z67" i="6"/>
  <c r="S68" i="6"/>
  <c r="Z68" i="6"/>
  <c r="M4" i="6"/>
  <c r="AB4" i="6"/>
  <c r="S4" i="6"/>
  <c r="M8" i="6"/>
  <c r="AB8" i="6"/>
  <c r="S8" i="6"/>
  <c r="M12" i="6"/>
  <c r="AB12" i="6"/>
  <c r="S12" i="6"/>
  <c r="M16" i="6"/>
  <c r="AB16" i="6"/>
  <c r="S16" i="6"/>
  <c r="AB22" i="6"/>
  <c r="S22" i="6"/>
  <c r="AB26" i="6"/>
  <c r="S26" i="6"/>
  <c r="AB30" i="6"/>
  <c r="S30" i="6"/>
  <c r="AB34" i="6"/>
  <c r="S34" i="6"/>
  <c r="AB38" i="6"/>
  <c r="S38" i="6"/>
  <c r="AB42" i="6"/>
  <c r="S42" i="6"/>
  <c r="AB46" i="6"/>
  <c r="S46" i="6"/>
  <c r="AB50" i="6"/>
  <c r="S50" i="6"/>
  <c r="AB54" i="6"/>
  <c r="S54" i="6"/>
  <c r="AB58" i="6"/>
  <c r="S58" i="6"/>
  <c r="AB62" i="6"/>
  <c r="S62" i="6"/>
  <c r="AB66" i="6"/>
  <c r="S66" i="6"/>
  <c r="W6" i="6"/>
  <c r="X6" i="6" s="1"/>
  <c r="U6" i="6"/>
  <c r="V6" i="6" s="1"/>
  <c r="U10" i="6"/>
  <c r="V10" i="6" s="1"/>
  <c r="W10" i="6"/>
  <c r="X10" i="6" s="1"/>
  <c r="W14" i="6"/>
  <c r="X14" i="6" s="1"/>
  <c r="U14" i="6"/>
  <c r="V14" i="6" s="1"/>
  <c r="W20" i="6"/>
  <c r="X20" i="6" s="1"/>
  <c r="U20" i="6"/>
  <c r="V20" i="6" s="1"/>
  <c r="W24" i="6"/>
  <c r="X24" i="6" s="1"/>
  <c r="U24" i="6"/>
  <c r="V24" i="6" s="1"/>
  <c r="W30" i="6"/>
  <c r="X30" i="6" s="1"/>
  <c r="U30" i="6"/>
  <c r="V30" i="6" s="1"/>
  <c r="U34" i="6"/>
  <c r="V34" i="6" s="1"/>
  <c r="W34" i="6"/>
  <c r="X34" i="6" s="1"/>
  <c r="W38" i="6"/>
  <c r="X38" i="6" s="1"/>
  <c r="U38" i="6"/>
  <c r="V38" i="6" s="1"/>
  <c r="W40" i="6"/>
  <c r="X40" i="6" s="1"/>
  <c r="U40" i="6"/>
  <c r="V40" i="6" s="1"/>
  <c r="U42" i="6"/>
  <c r="V42" i="6" s="1"/>
  <c r="W42" i="6"/>
  <c r="X42" i="6" s="1"/>
  <c r="W44" i="6"/>
  <c r="X44" i="6" s="1"/>
  <c r="U44" i="6"/>
  <c r="V44" i="6" s="1"/>
  <c r="W46" i="6"/>
  <c r="X46" i="6" s="1"/>
  <c r="U46" i="6"/>
  <c r="V46" i="6" s="1"/>
  <c r="W48" i="6"/>
  <c r="X48" i="6" s="1"/>
  <c r="U48" i="6"/>
  <c r="V48" i="6" s="1"/>
  <c r="U50" i="6"/>
  <c r="V50" i="6" s="1"/>
  <c r="W50" i="6"/>
  <c r="X50" i="6" s="1"/>
  <c r="W52" i="6"/>
  <c r="X52" i="6" s="1"/>
  <c r="U52" i="6"/>
  <c r="V52" i="6" s="1"/>
  <c r="W54" i="6"/>
  <c r="X54" i="6" s="1"/>
  <c r="U54" i="6"/>
  <c r="V54" i="6" s="1"/>
  <c r="W56" i="6"/>
  <c r="X56" i="6" s="1"/>
  <c r="U56" i="6"/>
  <c r="V56" i="6" s="1"/>
  <c r="U58" i="6"/>
  <c r="V58" i="6" s="1"/>
  <c r="W58" i="6"/>
  <c r="X58" i="6" s="1"/>
  <c r="W60" i="6"/>
  <c r="X60" i="6" s="1"/>
  <c r="U60" i="6"/>
  <c r="V60" i="6" s="1"/>
  <c r="W62" i="6"/>
  <c r="X62" i="6" s="1"/>
  <c r="U62" i="6"/>
  <c r="V62" i="6" s="1"/>
  <c r="W64" i="6"/>
  <c r="X64" i="6" s="1"/>
  <c r="U64" i="6"/>
  <c r="V64" i="6" s="1"/>
  <c r="U66" i="6"/>
  <c r="V66" i="6" s="1"/>
  <c r="W66" i="6"/>
  <c r="X66" i="6" s="1"/>
  <c r="AB5" i="6"/>
  <c r="S5" i="6"/>
  <c r="AB7" i="6"/>
  <c r="S7" i="6"/>
  <c r="AB9" i="6"/>
  <c r="S9" i="6"/>
  <c r="AB11" i="6"/>
  <c r="S11" i="6"/>
  <c r="AB13" i="6"/>
  <c r="S13" i="6"/>
  <c r="AB15" i="6"/>
  <c r="S15" i="6"/>
  <c r="AB17" i="6"/>
  <c r="S17" i="6"/>
  <c r="AB19" i="6"/>
  <c r="S19" i="6"/>
  <c r="AB21" i="6"/>
  <c r="S21" i="6"/>
  <c r="AB23" i="6"/>
  <c r="S23" i="6"/>
  <c r="AB25" i="6"/>
  <c r="S25" i="6"/>
  <c r="AB27" i="6"/>
  <c r="S27" i="6"/>
  <c r="AB29" i="6"/>
  <c r="S29" i="6"/>
  <c r="AB31" i="6"/>
  <c r="S31" i="6"/>
  <c r="AB33" i="6"/>
  <c r="S33" i="6"/>
  <c r="AB35" i="6"/>
  <c r="S35" i="6"/>
  <c r="AB37" i="6"/>
  <c r="S37" i="6"/>
  <c r="AB39" i="6"/>
  <c r="S39" i="6"/>
  <c r="AB41" i="6"/>
  <c r="S41" i="6"/>
  <c r="AB43" i="6"/>
  <c r="S43" i="6"/>
  <c r="AB45" i="6"/>
  <c r="S45" i="6"/>
  <c r="AB47" i="6"/>
  <c r="S47" i="6"/>
  <c r="AB49" i="6"/>
  <c r="S49" i="6"/>
  <c r="AB51" i="6"/>
  <c r="S51" i="6"/>
  <c r="AB53" i="6"/>
  <c r="S53" i="6"/>
  <c r="AB55" i="6"/>
  <c r="S55" i="6"/>
  <c r="AB57" i="6"/>
  <c r="S57" i="6"/>
  <c r="AB59" i="6"/>
  <c r="S59" i="6"/>
  <c r="AB61" i="6"/>
  <c r="S61" i="6"/>
  <c r="AB63" i="6"/>
  <c r="S63" i="6"/>
  <c r="AB65" i="6"/>
  <c r="S65" i="6"/>
  <c r="AB6" i="6"/>
  <c r="S6" i="6"/>
  <c r="AB10" i="6"/>
  <c r="S10" i="6"/>
  <c r="AB14" i="6"/>
  <c r="S14" i="6"/>
  <c r="AB18" i="6"/>
  <c r="S18" i="6"/>
  <c r="M20" i="6"/>
  <c r="AB20" i="6"/>
  <c r="S20" i="6"/>
  <c r="M24" i="6"/>
  <c r="AB24" i="6"/>
  <c r="S24" i="6"/>
  <c r="M28" i="6"/>
  <c r="AB28" i="6"/>
  <c r="S28" i="6"/>
  <c r="M32" i="6"/>
  <c r="AB32" i="6"/>
  <c r="S32" i="6"/>
  <c r="M36" i="6"/>
  <c r="AB36" i="6"/>
  <c r="S36" i="6"/>
  <c r="M40" i="6"/>
  <c r="AB40" i="6"/>
  <c r="S40" i="6"/>
  <c r="M44" i="6"/>
  <c r="AB44" i="6"/>
  <c r="S44" i="6"/>
  <c r="AB48" i="6"/>
  <c r="S48" i="6"/>
  <c r="AB52" i="6"/>
  <c r="S52" i="6"/>
  <c r="AB56" i="6"/>
  <c r="S56" i="6"/>
  <c r="AB60" i="6"/>
  <c r="S60" i="6"/>
  <c r="AB64" i="6"/>
  <c r="S64" i="6"/>
  <c r="W68" i="6"/>
  <c r="X68" i="6" s="1"/>
  <c r="U68" i="6"/>
  <c r="V68" i="6" s="1"/>
  <c r="W4" i="6"/>
  <c r="X4" i="6" s="1"/>
  <c r="U4" i="6"/>
  <c r="V4" i="6" s="1"/>
  <c r="W8" i="6"/>
  <c r="X8" i="6" s="1"/>
  <c r="U8" i="6"/>
  <c r="V8" i="6" s="1"/>
  <c r="W12" i="6"/>
  <c r="X12" i="6" s="1"/>
  <c r="U12" i="6"/>
  <c r="V12" i="6" s="1"/>
  <c r="W16" i="6"/>
  <c r="X16" i="6" s="1"/>
  <c r="U16" i="6"/>
  <c r="V16" i="6" s="1"/>
  <c r="U18" i="6"/>
  <c r="V18" i="6" s="1"/>
  <c r="W18" i="6"/>
  <c r="X18" i="6" s="1"/>
  <c r="W22" i="6"/>
  <c r="X22" i="6" s="1"/>
  <c r="U22" i="6"/>
  <c r="V22" i="6" s="1"/>
  <c r="U26" i="6"/>
  <c r="V26" i="6" s="1"/>
  <c r="W26" i="6"/>
  <c r="X26" i="6" s="1"/>
  <c r="W28" i="6"/>
  <c r="X28" i="6" s="1"/>
  <c r="U28" i="6"/>
  <c r="V28" i="6" s="1"/>
  <c r="W32" i="6"/>
  <c r="X32" i="6" s="1"/>
  <c r="U32" i="6"/>
  <c r="V32" i="6" s="1"/>
  <c r="W36" i="6"/>
  <c r="X36" i="6" s="1"/>
  <c r="U36" i="6"/>
  <c r="V36" i="6" s="1"/>
  <c r="W5" i="6"/>
  <c r="X5" i="6" s="1"/>
  <c r="U5" i="6"/>
  <c r="V5" i="6" s="1"/>
  <c r="W7" i="6"/>
  <c r="X7" i="6" s="1"/>
  <c r="U7" i="6"/>
  <c r="V7" i="6" s="1"/>
  <c r="W9" i="6"/>
  <c r="X9" i="6" s="1"/>
  <c r="U9" i="6"/>
  <c r="V9" i="6" s="1"/>
  <c r="W11" i="6"/>
  <c r="X11" i="6" s="1"/>
  <c r="U11" i="6"/>
  <c r="V11" i="6" s="1"/>
  <c r="W13" i="6"/>
  <c r="X13" i="6" s="1"/>
  <c r="U13" i="6"/>
  <c r="V13" i="6" s="1"/>
  <c r="W15" i="6"/>
  <c r="X15" i="6" s="1"/>
  <c r="U15" i="6"/>
  <c r="V15" i="6" s="1"/>
  <c r="W17" i="6"/>
  <c r="X17" i="6" s="1"/>
  <c r="U17" i="6"/>
  <c r="V17" i="6" s="1"/>
  <c r="U19" i="6"/>
  <c r="V19" i="6" s="1"/>
  <c r="W19" i="6"/>
  <c r="X19" i="6" s="1"/>
  <c r="W21" i="6"/>
  <c r="X21" i="6" s="1"/>
  <c r="U21" i="6"/>
  <c r="V21" i="6" s="1"/>
  <c r="W23" i="6"/>
  <c r="X23" i="6" s="1"/>
  <c r="U23" i="6"/>
  <c r="V23" i="6" s="1"/>
  <c r="W25" i="6"/>
  <c r="X25" i="6" s="1"/>
  <c r="U25" i="6"/>
  <c r="V25" i="6" s="1"/>
  <c r="W27" i="6"/>
  <c r="X27" i="6" s="1"/>
  <c r="U27" i="6"/>
  <c r="V27" i="6" s="1"/>
  <c r="W29" i="6"/>
  <c r="X29" i="6" s="1"/>
  <c r="U29" i="6"/>
  <c r="V29" i="6" s="1"/>
  <c r="W31" i="6"/>
  <c r="X31" i="6" s="1"/>
  <c r="U31" i="6"/>
  <c r="V31" i="6" s="1"/>
  <c r="W33" i="6"/>
  <c r="X33" i="6" s="1"/>
  <c r="U33" i="6"/>
  <c r="V33" i="6" s="1"/>
  <c r="U35" i="6"/>
  <c r="V35" i="6" s="1"/>
  <c r="W35" i="6"/>
  <c r="X35" i="6" s="1"/>
  <c r="W37" i="6"/>
  <c r="X37" i="6" s="1"/>
  <c r="U37" i="6"/>
  <c r="V37" i="6" s="1"/>
  <c r="W39" i="6"/>
  <c r="X39" i="6" s="1"/>
  <c r="U39" i="6"/>
  <c r="V39" i="6" s="1"/>
  <c r="W41" i="6"/>
  <c r="X41" i="6" s="1"/>
  <c r="U41" i="6"/>
  <c r="V41" i="6" s="1"/>
  <c r="W43" i="6"/>
  <c r="X43" i="6" s="1"/>
  <c r="U43" i="6"/>
  <c r="V43" i="6" s="1"/>
  <c r="W45" i="6"/>
  <c r="X45" i="6" s="1"/>
  <c r="U45" i="6"/>
  <c r="V45" i="6" s="1"/>
  <c r="W47" i="6"/>
  <c r="X47" i="6" s="1"/>
  <c r="U47" i="6"/>
  <c r="V47" i="6" s="1"/>
  <c r="W49" i="6"/>
  <c r="X49" i="6" s="1"/>
  <c r="U49" i="6"/>
  <c r="V49" i="6" s="1"/>
  <c r="U51" i="6"/>
  <c r="V51" i="6" s="1"/>
  <c r="W51" i="6"/>
  <c r="X51" i="6" s="1"/>
  <c r="W53" i="6"/>
  <c r="X53" i="6" s="1"/>
  <c r="U53" i="6"/>
  <c r="V53" i="6" s="1"/>
  <c r="W55" i="6"/>
  <c r="X55" i="6" s="1"/>
  <c r="U55" i="6"/>
  <c r="V55" i="6" s="1"/>
  <c r="W57" i="6"/>
  <c r="X57" i="6" s="1"/>
  <c r="U57" i="6"/>
  <c r="V57" i="6" s="1"/>
  <c r="U59" i="6"/>
  <c r="V59" i="6" s="1"/>
  <c r="W59" i="6"/>
  <c r="X59" i="6" s="1"/>
  <c r="W61" i="6"/>
  <c r="X61" i="6" s="1"/>
  <c r="U61" i="6"/>
  <c r="V61" i="6" s="1"/>
  <c r="W63" i="6"/>
  <c r="X63" i="6" s="1"/>
  <c r="U63" i="6"/>
  <c r="V63" i="6" s="1"/>
  <c r="W65" i="6"/>
  <c r="X65" i="6" s="1"/>
  <c r="U65" i="6"/>
  <c r="V65" i="6" s="1"/>
  <c r="W67" i="6"/>
  <c r="X67" i="6" s="1"/>
  <c r="U67" i="6"/>
  <c r="V67" i="6" s="1"/>
  <c r="M48" i="6"/>
  <c r="M52" i="6"/>
  <c r="M56" i="6"/>
  <c r="M60" i="6"/>
  <c r="M64" i="6"/>
  <c r="M66" i="6"/>
  <c r="M3" i="6"/>
  <c r="M7" i="6"/>
  <c r="M11" i="6"/>
  <c r="M15" i="6"/>
  <c r="M19" i="6"/>
  <c r="M23" i="6"/>
  <c r="M27" i="6"/>
  <c r="M31" i="6"/>
  <c r="M35" i="6"/>
  <c r="M39" i="6"/>
  <c r="M43" i="6"/>
  <c r="M47" i="6"/>
  <c r="M51" i="6"/>
  <c r="M55" i="6"/>
  <c r="M59" i="6"/>
  <c r="M63" i="6"/>
  <c r="M6" i="6"/>
  <c r="M10" i="6"/>
  <c r="M14" i="6"/>
  <c r="M18" i="6"/>
  <c r="M22" i="6"/>
  <c r="M26" i="6"/>
  <c r="M30" i="6"/>
  <c r="M34" i="6"/>
  <c r="M38" i="6"/>
  <c r="M42" i="6"/>
  <c r="M46" i="6"/>
  <c r="M50" i="6"/>
  <c r="M54" i="6"/>
  <c r="M58" i="6"/>
  <c r="M62" i="6"/>
  <c r="M5" i="6"/>
  <c r="M9" i="6"/>
  <c r="M13" i="6"/>
  <c r="M17" i="6"/>
  <c r="M21" i="6"/>
  <c r="M25" i="6"/>
  <c r="M29" i="6"/>
  <c r="M33" i="6"/>
  <c r="M37" i="6"/>
  <c r="M41" i="6"/>
  <c r="M45" i="6"/>
  <c r="M49" i="6"/>
  <c r="M53" i="6"/>
  <c r="M57" i="6"/>
  <c r="M61" i="6"/>
  <c r="M65" i="6"/>
  <c r="R66" i="6"/>
  <c r="R67" i="6"/>
  <c r="R10" i="6"/>
  <c r="R14" i="6"/>
  <c r="R6" i="6"/>
  <c r="AC3" i="6"/>
  <c r="AC182" i="6" s="1"/>
  <c r="S3" i="6"/>
  <c r="R5" i="6"/>
  <c r="R9" i="6"/>
  <c r="R13" i="6"/>
  <c r="AB3" i="6"/>
  <c r="R8" i="6"/>
  <c r="R12" i="6"/>
  <c r="R4" i="6"/>
  <c r="X3" i="6"/>
  <c r="R3" i="6"/>
  <c r="U3" i="6"/>
  <c r="V3" i="6" s="1"/>
  <c r="R7" i="6"/>
  <c r="R11" i="6"/>
  <c r="R18" i="6"/>
  <c r="R19" i="6"/>
  <c r="R23" i="6"/>
  <c r="R25" i="6"/>
  <c r="R29" i="6"/>
  <c r="R33" i="6"/>
  <c r="R37" i="6"/>
  <c r="R15" i="6"/>
  <c r="R22" i="6"/>
  <c r="R26" i="6"/>
  <c r="R30" i="6"/>
  <c r="R34" i="6"/>
  <c r="R38" i="6"/>
  <c r="R16" i="6"/>
  <c r="R17" i="6"/>
  <c r="R21" i="6"/>
  <c r="R27" i="6"/>
  <c r="R31" i="6"/>
  <c r="R35" i="6"/>
  <c r="R20" i="6"/>
  <c r="R24" i="6"/>
  <c r="R28" i="6"/>
  <c r="R32" i="6"/>
  <c r="R36" i="6"/>
  <c r="R56" i="6"/>
  <c r="R62" i="6"/>
  <c r="R64" i="6"/>
  <c r="R39" i="6"/>
  <c r="R40" i="6"/>
  <c r="R57" i="6"/>
  <c r="R58" i="6"/>
  <c r="R59" i="6"/>
  <c r="R60" i="6"/>
  <c r="R42" i="6"/>
  <c r="R61" i="6"/>
  <c r="R63" i="6"/>
  <c r="R41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V182" i="6" l="1"/>
  <c r="X182" i="6"/>
  <c r="AA182" i="6"/>
  <c r="AB182" i="6"/>
</calcChain>
</file>

<file path=xl/sharedStrings.xml><?xml version="1.0" encoding="utf-8"?>
<sst xmlns="http://schemas.openxmlformats.org/spreadsheetml/2006/main" count="439" uniqueCount="243">
  <si>
    <t xml:space="preserve">VOLUMETRIC FLASK A CLASS CLEAR USP 5ML </t>
  </si>
  <si>
    <t xml:space="preserve">VOLUMETRIC FLASK A CLASS AMBER USP 5ML </t>
  </si>
  <si>
    <t xml:space="preserve">VOLUMETRIC FLASK A CLASS CLEAR USP 10ML </t>
  </si>
  <si>
    <t xml:space="preserve">VOLUMETRIC FLASK A CLASS  AMBER USP 10ML </t>
  </si>
  <si>
    <t xml:space="preserve">VOLUMETRIC FLASK A CLASS CLEAR USP 20ML </t>
  </si>
  <si>
    <t xml:space="preserve">VOLUMETRIC FLASK A CLASS AMBER USP 20ML </t>
  </si>
  <si>
    <t xml:space="preserve">VOLUMETRIC FLASK A CLASS CLEAR USP 25ML </t>
  </si>
  <si>
    <t xml:space="preserve">VOLUMETRIC FLASK A CLASS AMBER USP 25ML </t>
  </si>
  <si>
    <t xml:space="preserve">VOLUMETRIC FLASK A CLASS CLEAR USP 50ML </t>
  </si>
  <si>
    <t xml:space="preserve">VOLUMETRIC FLASK A CLASS AMBER  USP 50ML </t>
  </si>
  <si>
    <t xml:space="preserve">VOLUMETRIC FLASK A CLASS CLEAR USP 100ML </t>
  </si>
  <si>
    <t xml:space="preserve">VOLUMETRIC FLASK A CLASS AMBER USP 100ML </t>
  </si>
  <si>
    <t xml:space="preserve">VOLUMETRIC FLASK A CLASS CLEAR USP 200ML </t>
  </si>
  <si>
    <t xml:space="preserve">VOLUMETRIC FLASK A CLASS AMBER USP 200ML </t>
  </si>
  <si>
    <t xml:space="preserve">VOLUMETRIC FLASK A CLASS CLEAR USP 250ML </t>
  </si>
  <si>
    <t xml:space="preserve">VOLUMETRIC FLASK A CLASS AMBER USP 250ML </t>
  </si>
  <si>
    <t xml:space="preserve">VOLUMETRIC FLASK A CLASS CLEAR USP 500ML </t>
  </si>
  <si>
    <t xml:space="preserve">VOLUMETRIC FLASK A CLASS AMBER  USP 500ML </t>
  </si>
  <si>
    <t xml:space="preserve">VOLUMETRIC FLASK A CLASS CLEAR USP 1000ML </t>
  </si>
  <si>
    <t xml:space="preserve">VOLUMETRIC FLASK A CLASS AMBER USP 1000ML </t>
  </si>
  <si>
    <t xml:space="preserve">VOLUMETRIC FLASK A CLASS CLEAR USP 2000ML </t>
  </si>
  <si>
    <t xml:space="preserve">VOLUMETRIC FLASK A CLASS AMBER USP 2000ML </t>
  </si>
  <si>
    <t>SCREW CAP BOTTLE 100ML</t>
  </si>
  <si>
    <t>SCREW CAP BOTTLE 250ML</t>
  </si>
  <si>
    <t>SCREW CAP BOTTLE 500ML</t>
  </si>
  <si>
    <t>SCREW CAP BOTTLE 1000ML</t>
  </si>
  <si>
    <t>SCREW CAP BOTTLE 2000ML</t>
  </si>
  <si>
    <t>SCREW CAP BOTTLE 3000ML</t>
  </si>
  <si>
    <t>SCREW CAP BOTTLE 5000ML</t>
  </si>
  <si>
    <t>SCREW CAP BOTTLE 10000ML</t>
  </si>
  <si>
    <t>WEIGHING SCOOP,CAP 1ML</t>
  </si>
  <si>
    <t>WEIGHING SCOOP,CAP 2ML</t>
  </si>
  <si>
    <t>WEIGHING SCOOP,CAP 3ML</t>
  </si>
  <si>
    <t>WEIGHING SCOOP,CAP 6ML</t>
  </si>
  <si>
    <t>WEIGHING SCOOP,CAP 10ML</t>
  </si>
  <si>
    <t>VOLUMETRIC PIPETTE 2ML CLASS "A"USP</t>
  </si>
  <si>
    <t>VOLUMETRIC PIPETTE 1ML CLASS "A"USP</t>
  </si>
  <si>
    <t>VOLUMETRIC PIPETTE 3ML CLASS "A"USP</t>
  </si>
  <si>
    <t>VOLUMETRIC PIPETTE 4ML CLASS "A"USP</t>
  </si>
  <si>
    <t>VOLUMETRIC PIPETTE 5ML CLASS "A"USP</t>
  </si>
  <si>
    <t>VOLUMETRIC PIPETTE 6ML CLASS "A"USP</t>
  </si>
  <si>
    <t>VOLUMETRIC PIPETTE 7ML CLASS "A"USP</t>
  </si>
  <si>
    <t>VOLUMETRIC PIPETTE 8ML CLASS "A"USP</t>
  </si>
  <si>
    <t>VOLUMETRIC PIPETTE 9ML CLASS "A"USP</t>
  </si>
  <si>
    <t>VOLUMETRIC PIPETTE 10ML CLASS "A"USP</t>
  </si>
  <si>
    <t>VOLUMETRIC PIPETTE 15ML CLASS "A"USP</t>
  </si>
  <si>
    <t>VOLUMETRIC PIPETTE 20ML CLASS "A"USP</t>
  </si>
  <si>
    <t>VOLUMETRIC PIPETTE 25ML CLASS "A"USP</t>
  </si>
  <si>
    <t>VOLUMETRIC PIPETTE 50ML CLASS "A"USP</t>
  </si>
  <si>
    <t>MEASURING CYLINDER 10ML CAPACITY CLASS AUSP</t>
  </si>
  <si>
    <t>MEASURING CYLINDER 25ML CAPACITY CLASS A USP</t>
  </si>
  <si>
    <t>MEASURING CYLINDER 50ML CAPACITY CLASS A USP</t>
  </si>
  <si>
    <t>MEASURING CYLINDER 100ML CAPACITY CLASS A USP</t>
  </si>
  <si>
    <t>MEASURING CYLINDER 250ML CAPACITY CLASS A USP</t>
  </si>
  <si>
    <t>MEASURING CYLINDER 500ML CAPACITY CLASS A USP</t>
  </si>
  <si>
    <t xml:space="preserve">MEASURING CYLINDER 1000ML CAPACITY CLASS A USP </t>
  </si>
  <si>
    <t>GRADUATED PIPETTE 1ML CLASS A USP</t>
  </si>
  <si>
    <t>GRADUATED PIPETTE 2ML CLASS A USP</t>
  </si>
  <si>
    <t>GRADUATED PIPETTE 5ML CLASS A USP</t>
  </si>
  <si>
    <t>GRADUATED PIPETTE 10ML CLASS A USP</t>
  </si>
  <si>
    <t>GLASS BEAKER 25ML</t>
  </si>
  <si>
    <t>GLASS BEAKER 50ML</t>
  </si>
  <si>
    <t>GLASS BEAKER 100ML</t>
  </si>
  <si>
    <t>GLASS BEAKER 250ML</t>
  </si>
  <si>
    <t>GLASS BEAKER 500ML</t>
  </si>
  <si>
    <t>GLASS BEAKER 1000ML</t>
  </si>
  <si>
    <t>Sr No.</t>
  </si>
  <si>
    <t>GLASS FUNNEL - 25 ML</t>
  </si>
  <si>
    <t>GLASS FUNNEL - 35 ML</t>
  </si>
  <si>
    <t>TEST TUBES WITHOUT RIM- 38 X 200 MM</t>
  </si>
  <si>
    <t>BEAKER 150 ML</t>
  </si>
  <si>
    <t>BEAKER 50 ML</t>
  </si>
  <si>
    <t>BEAKERS 100 ML</t>
  </si>
  <si>
    <t>BEAKERS 1000 ML</t>
  </si>
  <si>
    <t>BEAKERS 250 ML</t>
  </si>
  <si>
    <t>CONICAL FLASK 250 ML</t>
  </si>
  <si>
    <t>GLASS BOTTLE (1 LIT)</t>
  </si>
  <si>
    <t>GLASS BOTTLE 2 LTR CAPACITY</t>
  </si>
  <si>
    <t>GLASS BOTTLE WITH SCREW CAP 250 ML</t>
  </si>
  <si>
    <t>GLASS BOTTLES WITH CAP (500 ML CAPACITY)</t>
  </si>
  <si>
    <t>GLASS FUNNEL 50MM</t>
  </si>
  <si>
    <t>GLASS FUNNEL 75 MM</t>
  </si>
  <si>
    <t>MEASURING CYLINDER 1000 ML</t>
  </si>
  <si>
    <t>MEASURING CYLINDER 500 ML</t>
  </si>
  <si>
    <t>MEASURING CYLINDER 2000 ML</t>
  </si>
  <si>
    <t>MEASURING CYLINDER-2000ML</t>
  </si>
  <si>
    <t>MEASURING CYLINDER-50 ML</t>
  </si>
  <si>
    <t>MEASURING CYLINDERS 100 ML</t>
  </si>
  <si>
    <t>SEPARATING FUNNEL 125ML</t>
  </si>
  <si>
    <t>VOLUMETRIC FLASK 200ML AMBER</t>
  </si>
  <si>
    <t>VOLUMETRIC FLASK 500ML</t>
  </si>
  <si>
    <t>VOLUMETRIC FLASK 10 ML - CLASS A</t>
  </si>
  <si>
    <t>VOLUMETRIC FLASK 10 ML - CLASS A AMBER</t>
  </si>
  <si>
    <t>VOLUMETRIC FLASK 100 ML - CLASS A</t>
  </si>
  <si>
    <t>VOLUMETRIC FLASK 100 ML AMBER COLOUR</t>
  </si>
  <si>
    <t>VOLUMETRIC FLASK 1000 ML</t>
  </si>
  <si>
    <t>VOLUMETRIC FLASK 20 ML</t>
  </si>
  <si>
    <t>VOLUMETRIC FLASK 20 ML - CLASS A</t>
  </si>
  <si>
    <t>VOLUMETRIC FLASK 200 ML - CLASS A</t>
  </si>
  <si>
    <t>VOLUMETRIC FLASK 25 ML - CLASS A</t>
  </si>
  <si>
    <t>VOLUMETRIC FLASK 250 ML</t>
  </si>
  <si>
    <t>VOLUMETRIC FLASK 250 ML - AMBER COLOURED</t>
  </si>
  <si>
    <t>VOLUMETRIC FLASK 50 ML</t>
  </si>
  <si>
    <t>VOLUMETRIC FLASK 50ML AMBER COLOUR</t>
  </si>
  <si>
    <t>VOLUMETRIC FLASK 5ML(AMBER)-A CLASS</t>
  </si>
  <si>
    <t>VOLUMETRIC PIPETTE 1ML CLASS "A"</t>
  </si>
  <si>
    <t>VOLUMETRIC PIPETTE 2ML CLASS "A"</t>
  </si>
  <si>
    <t>VOLUMETRIC PIPETTE 3ML CLASS "A"</t>
  </si>
  <si>
    <t>VOLUMETRIC PIPETTE 4ML CLASS "A"</t>
  </si>
  <si>
    <t>VOLUMETRIC PIPETTE 5ML CLASS "A"</t>
  </si>
  <si>
    <t>VOLUMETRIC PIPETTE 6 ML - A CLASS</t>
  </si>
  <si>
    <t>LOD BOTTLE 20 ML</t>
  </si>
  <si>
    <t>VOLUMETRIC FLASK 2 ML</t>
  </si>
  <si>
    <t>NESSLER CYLINDER 100 ML</t>
  </si>
  <si>
    <t>VOLUMETRIC FLASK 1000 ML AMBER</t>
  </si>
  <si>
    <t>VOLUMETRIC FLASK 25 ML AMBER</t>
  </si>
  <si>
    <t>EVAPORATING DISHES 80 X 45 MM</t>
  </si>
  <si>
    <t>VOLUMETRIC FLASK 2000 ML</t>
  </si>
  <si>
    <t>FLAT BOTTOM FLASK 250 ML CODE : 4100021</t>
  </si>
  <si>
    <t>BULB PIPETTE 2 ML</t>
  </si>
  <si>
    <t>BULB PIPETTE 3 ML</t>
  </si>
  <si>
    <t>BULB PIPETTE 4ML</t>
  </si>
  <si>
    <t>BURETTE 25 ML</t>
  </si>
  <si>
    <t>BURETTE 50ML</t>
  </si>
  <si>
    <t>GLASS MEASURING CYLINDER 10 ML</t>
  </si>
  <si>
    <t>GLASS MEASURING CYLINDER 250 ML</t>
  </si>
  <si>
    <t>MEASURING CYLINDER -100 ML</t>
  </si>
  <si>
    <t>MEASURING CYLINDER-25ML</t>
  </si>
  <si>
    <t>MEASURING CYLINDER-5 ML</t>
  </si>
  <si>
    <t>SEPARATING FUNNEL 60ML</t>
  </si>
  <si>
    <t>Gooch Crucible  50 ml</t>
  </si>
  <si>
    <t>GLASS LOD BOTTLE, SQUAT FORM MAKE: Size: 20 ml</t>
  </si>
  <si>
    <t>BOTTLE-Glass bottles with cap (250 ml capacity)</t>
  </si>
  <si>
    <t>GLASS BOTTLES (5L CAPACITY)</t>
  </si>
  <si>
    <t>GLASS BOTTLES WITH CAP (100 ML CAPACITY)</t>
  </si>
  <si>
    <t>GLASS STOPPERS-Glass stoppers for Volumetric flask 10 ml</t>
  </si>
  <si>
    <t>GLASS STOPPERS-Glass stoppers for Volumetric flask 100 ml</t>
  </si>
  <si>
    <t>GLASS STOPPERS-Borosil, Volumetric flask 50 ml stoppers</t>
  </si>
  <si>
    <t>GLASS STOPPERS-Glass stoppers for Volumetric flask 1000 ml</t>
  </si>
  <si>
    <t>GLASS STOPPERS-Glass stoppers for Volumetric flask 100 ml-Cat N0.8100A29</t>
  </si>
  <si>
    <t>MOBILE PHASE BOTTLE 3000ML</t>
  </si>
  <si>
    <t>MEASURING CYLINDER 150Ml</t>
  </si>
  <si>
    <t>BOTTOLE WITH SCREW CAP (BOROSIL) 1000 ML</t>
  </si>
  <si>
    <t>Stoppered Iodometric flask -Stopr 500Ml</t>
  </si>
  <si>
    <t>Glass Measuring Cylinder 1000 ML</t>
  </si>
  <si>
    <t>Glass Measuring Cylinder 500 ML</t>
  </si>
  <si>
    <t>CONICAL FLASK 500 ML</t>
  </si>
  <si>
    <t>MOBILE PHASE BOTTLE 5 LTR</t>
  </si>
  <si>
    <t>MEASURING CYLINDER-250ML</t>
  </si>
  <si>
    <t>BULB PIPETTE 5 ML</t>
  </si>
  <si>
    <t>VOLUMETRIC FLASK 2000 ML AMBER</t>
  </si>
  <si>
    <t>MEASURING CYLINDER-100ML</t>
  </si>
  <si>
    <t>PASTEUR PIPETTE, CAP-3 ML</t>
  </si>
  <si>
    <t>GRADUATED PIPETTE 1 ML</t>
  </si>
  <si>
    <t>GRADUATED PIPETTE 5 ML</t>
  </si>
  <si>
    <t>GRADUATED PIPETTE 2 ML</t>
  </si>
  <si>
    <t>BULB PIPETTE 1 ML</t>
  </si>
  <si>
    <t>STOPPER 10/19 CODE : 8100A10</t>
  </si>
  <si>
    <t>STOPPER 19/26 CODE : 8100A19</t>
  </si>
  <si>
    <t>STOPPER 14/23 CODE : 8100A14</t>
  </si>
  <si>
    <t>VOLUMETRIC FLASK 20 ML AMBER</t>
  </si>
  <si>
    <t>VOLUMATRIC FLASK 500ML - AMBER</t>
  </si>
  <si>
    <t>BULB PIPETTE 10 ML</t>
  </si>
  <si>
    <t>SEPARATING FUNNEL 250 ML</t>
  </si>
  <si>
    <t>STOPPER TEST TUBE 10 ML</t>
  </si>
  <si>
    <t>VOLUMETRIC PIPETTE 8 ML CLASS A 7101708</t>
  </si>
  <si>
    <t>MOBILE PHASE BOTTLE 2000ML</t>
  </si>
  <si>
    <t>GLASS BEAKERS 100ML</t>
  </si>
  <si>
    <t>GLASS MEASURING CYLINDER 100 ML</t>
  </si>
  <si>
    <t>BULB PIPETTE 7 ML</t>
  </si>
  <si>
    <t>BULB PIPETTE 8 ML</t>
  </si>
  <si>
    <t>Cat No.</t>
  </si>
  <si>
    <t>TEST TUBES WITHOUT RIM-18x150</t>
  </si>
  <si>
    <t>VOLUMETRIC PIPETTE1,ml</t>
  </si>
  <si>
    <t>5647005D</t>
  </si>
  <si>
    <t>5647006D</t>
  </si>
  <si>
    <t>5647008D</t>
  </si>
  <si>
    <t>5647012D</t>
  </si>
  <si>
    <t>5647016D</t>
  </si>
  <si>
    <t>5647020D</t>
  </si>
  <si>
    <t>5647021D</t>
  </si>
  <si>
    <t>5647024D</t>
  </si>
  <si>
    <t>5647029D</t>
  </si>
  <si>
    <t>1000D12</t>
  </si>
  <si>
    <t>1000D16</t>
  </si>
  <si>
    <t>1000D21</t>
  </si>
  <si>
    <t>1000D24</t>
  </si>
  <si>
    <t>1000D29</t>
  </si>
  <si>
    <t>7059P01</t>
  </si>
  <si>
    <t>7059P02</t>
  </si>
  <si>
    <t>7059P05</t>
  </si>
  <si>
    <t>7059P06</t>
  </si>
  <si>
    <t>5647009D</t>
  </si>
  <si>
    <t>9820U06</t>
  </si>
  <si>
    <t>9820U11</t>
  </si>
  <si>
    <t>1000D18</t>
  </si>
  <si>
    <t>Glass Beaker 1000ml</t>
  </si>
  <si>
    <t xml:space="preserve">GLASS BEAKER 25ML </t>
  </si>
  <si>
    <t>RELATIVE DENSITY BOTTLE WITH TEFLON25ml</t>
  </si>
  <si>
    <t>8100A10</t>
  </si>
  <si>
    <t>8100A19</t>
  </si>
  <si>
    <t>8100A14</t>
  </si>
  <si>
    <t xml:space="preserve">CONICAL FLASK 50 ML </t>
  </si>
  <si>
    <t xml:space="preserve">CONICAL FLASK 25ML - </t>
  </si>
  <si>
    <t>5645030D</t>
  </si>
  <si>
    <t>GLASS FUNNEL -75mm</t>
  </si>
  <si>
    <t>GLASS SCOOP 2ml</t>
  </si>
  <si>
    <t>8100A24</t>
  </si>
  <si>
    <t>8100A29</t>
  </si>
  <si>
    <t>J-SIL vs Thermo</t>
  </si>
  <si>
    <t>J-SIL vs Borosil</t>
  </si>
  <si>
    <t>Unit Qty.</t>
  </si>
  <si>
    <t>Saving in %</t>
  </si>
  <si>
    <t>Minium Rate</t>
  </si>
  <si>
    <t>Vendor Name</t>
  </si>
  <si>
    <t>RatD VaraincD ThDrmo</t>
  </si>
  <si>
    <t>Saving form Tharmao</t>
  </si>
  <si>
    <t>RatD VaraincD J-Sil</t>
  </si>
  <si>
    <t>Saving form J-SIL</t>
  </si>
  <si>
    <t>Dodal</t>
  </si>
  <si>
    <t>Tharmo</t>
  </si>
  <si>
    <t>J-SIL</t>
  </si>
  <si>
    <t>Global Pharma</t>
  </si>
  <si>
    <t>Turnover considering make on the basis of last year consumption (2023-24)</t>
  </si>
  <si>
    <t>Item Name</t>
  </si>
  <si>
    <t>Unit price</t>
  </si>
  <si>
    <t>Discount %</t>
  </si>
  <si>
    <t>Disc. Inr</t>
  </si>
  <si>
    <t>Final net rate</t>
  </si>
  <si>
    <t>Santosh Enterprises</t>
  </si>
  <si>
    <t>Dodal- 24-25</t>
  </si>
  <si>
    <t>Tharmo-24-25</t>
  </si>
  <si>
    <t>J-SIL-24-25</t>
  </si>
  <si>
    <t>Dodal- 23-24</t>
  </si>
  <si>
    <t>Santosh enterprises-Quoted rate 2024-25</t>
  </si>
  <si>
    <t>Global Pharma Solution -Quoted rate -2024-25</t>
  </si>
  <si>
    <t>Dodal Enterprises- Quoted rate 2023-24</t>
  </si>
  <si>
    <t xml:space="preserve">Discount % </t>
  </si>
  <si>
    <t>Remark</t>
  </si>
  <si>
    <t>GLASSWARES ARC PROPOSAL 2024-25</t>
  </si>
  <si>
    <t>Tentative Purchase</t>
  </si>
  <si>
    <t xml:space="preserve">Tentative saving </t>
  </si>
  <si>
    <t>Tentative Saving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</si>
</sst>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 * #,##0_ ;_ * \-#,##0_ ;_ * &quot;-&quot;??_ ;_ @_ "/>
    <numFmt numFmtId="166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2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Font="1"/>
    <xf numFmtId="0" fontId="0" fillId="0" borderId="0" xfId="0" applyAlignment="1">
      <alignment horizontal="center" vertical="center"/>
    </xf>
    <xf numFmtId="43" fontId="0" fillId="0" borderId="5" xfId="2" applyFont="1" applyBorder="1"/>
    <xf numFmtId="43" fontId="0" fillId="4" borderId="5" xfId="2" applyFont="1" applyFill="1" applyBorder="1"/>
    <xf numFmtId="164" fontId="0" fillId="0" borderId="0" xfId="2" applyNumberFormat="1" applyFont="1"/>
    <xf numFmtId="164" fontId="0" fillId="0" borderId="10" xfId="2" applyNumberFormat="1" applyFont="1" applyBorder="1"/>
    <xf numFmtId="0" fontId="1" fillId="0" borderId="5" xfId="0" applyFont="1" applyBorder="1" applyAlignment="1">
      <alignment horizontal="left"/>
    </xf>
    <xf numFmtId="164" fontId="0" fillId="0" borderId="5" xfId="2" applyNumberFormat="1" applyFont="1" applyBorder="1"/>
    <xf numFmtId="164" fontId="0" fillId="0" borderId="6" xfId="2" applyNumberFormat="1" applyFont="1" applyBorder="1"/>
    <xf numFmtId="0" fontId="1" fillId="0" borderId="12" xfId="0" applyFont="1" applyBorder="1" applyAlignment="1">
      <alignment horizontal="left"/>
    </xf>
    <xf numFmtId="43" fontId="0" fillId="0" borderId="12" xfId="2" applyFont="1" applyBorder="1"/>
    <xf numFmtId="43" fontId="0" fillId="4" borderId="12" xfId="2" applyFont="1" applyFill="1" applyBorder="1"/>
    <xf numFmtId="164" fontId="0" fillId="0" borderId="12" xfId="2" applyNumberFormat="1" applyFont="1" applyBorder="1"/>
    <xf numFmtId="164" fontId="0" fillId="0" borderId="13" xfId="2" applyNumberFormat="1" applyFont="1" applyBorder="1"/>
    <xf numFmtId="0" fontId="1" fillId="0" borderId="15" xfId="0" applyFont="1" applyBorder="1" applyAlignment="1">
      <alignment horizontal="left"/>
    </xf>
    <xf numFmtId="43" fontId="0" fillId="0" borderId="15" xfId="2" applyFont="1" applyBorder="1"/>
    <xf numFmtId="43" fontId="0" fillId="4" borderId="15" xfId="2" applyFont="1" applyFill="1" applyBorder="1"/>
    <xf numFmtId="164" fontId="0" fillId="0" borderId="15" xfId="2" applyNumberFormat="1" applyFont="1" applyBorder="1"/>
    <xf numFmtId="164" fontId="0" fillId="0" borderId="16" xfId="2" applyNumberFormat="1" applyFont="1" applyBorder="1"/>
    <xf numFmtId="0" fontId="0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/>
    <xf numFmtId="164" fontId="1" fillId="0" borderId="5" xfId="2" applyNumberFormat="1" applyFont="1" applyBorder="1" applyAlignment="1">
      <alignment horizontal="left" wrapText="1"/>
    </xf>
    <xf numFmtId="9" fontId="1" fillId="0" borderId="5" xfId="0" applyNumberFormat="1" applyFont="1" applyBorder="1" applyAlignment="1">
      <alignment horizontal="left" wrapText="1"/>
    </xf>
    <xf numFmtId="43" fontId="1" fillId="0" borderId="5" xfId="2" applyNumberFormat="1" applyFont="1" applyBorder="1" applyAlignment="1">
      <alignment horizontal="left" wrapText="1"/>
    </xf>
    <xf numFmtId="43" fontId="1" fillId="3" borderId="5" xfId="2" applyNumberFormat="1" applyFont="1" applyFill="1" applyBorder="1" applyAlignment="1">
      <alignment horizontal="right" wrapText="1"/>
    </xf>
    <xf numFmtId="43" fontId="0" fillId="0" borderId="5" xfId="2" applyNumberFormat="1" applyFont="1" applyBorder="1" applyAlignment="1">
      <alignment horizontal="left"/>
    </xf>
    <xf numFmtId="9" fontId="0" fillId="0" borderId="5" xfId="0" applyNumberFormat="1" applyFont="1" applyBorder="1" applyAlignment="1">
      <alignment horizontal="left"/>
    </xf>
    <xf numFmtId="43" fontId="0" fillId="0" borderId="5" xfId="2" applyFont="1" applyBorder="1" applyAlignment="1">
      <alignment horizontal="left"/>
    </xf>
    <xf numFmtId="43" fontId="0" fillId="2" borderId="5" xfId="2" applyFont="1" applyFill="1" applyBorder="1" applyAlignment="1">
      <alignment horizontal="left"/>
    </xf>
    <xf numFmtId="1" fontId="0" fillId="2" borderId="5" xfId="0" applyNumberFormat="1" applyFont="1" applyFill="1" applyBorder="1"/>
    <xf numFmtId="9" fontId="0" fillId="0" borderId="5" xfId="0" applyNumberFormat="1" applyFont="1" applyBorder="1"/>
    <xf numFmtId="1" fontId="0" fillId="4" borderId="5" xfId="0" applyNumberFormat="1" applyFont="1" applyFill="1" applyBorder="1"/>
    <xf numFmtId="2" fontId="0" fillId="5" borderId="5" xfId="0" applyNumberFormat="1" applyFont="1" applyFill="1" applyBorder="1"/>
    <xf numFmtId="0" fontId="0" fillId="5" borderId="5" xfId="0" applyFont="1" applyFill="1" applyBorder="1"/>
    <xf numFmtId="43" fontId="0" fillId="0" borderId="5" xfId="0" applyNumberFormat="1" applyFont="1" applyBorder="1"/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2" xfId="0" applyFont="1" applyBorder="1"/>
    <xf numFmtId="164" fontId="1" fillId="0" borderId="12" xfId="2" applyNumberFormat="1" applyFont="1" applyBorder="1" applyAlignment="1">
      <alignment horizontal="left" wrapText="1"/>
    </xf>
    <xf numFmtId="9" fontId="1" fillId="0" borderId="12" xfId="0" applyNumberFormat="1" applyFont="1" applyBorder="1" applyAlignment="1">
      <alignment horizontal="left" wrapText="1"/>
    </xf>
    <xf numFmtId="43" fontId="1" fillId="0" borderId="12" xfId="2" applyNumberFormat="1" applyFont="1" applyBorder="1" applyAlignment="1">
      <alignment horizontal="left" wrapText="1"/>
    </xf>
    <xf numFmtId="43" fontId="1" fillId="3" borderId="12" xfId="2" applyNumberFormat="1" applyFont="1" applyFill="1" applyBorder="1" applyAlignment="1">
      <alignment horizontal="right" wrapText="1"/>
    </xf>
    <xf numFmtId="43" fontId="0" fillId="0" borderId="12" xfId="2" applyNumberFormat="1" applyFont="1" applyBorder="1" applyAlignment="1">
      <alignment horizontal="left"/>
    </xf>
    <xf numFmtId="9" fontId="0" fillId="0" borderId="12" xfId="0" applyNumberFormat="1" applyFont="1" applyBorder="1" applyAlignment="1">
      <alignment horizontal="left"/>
    </xf>
    <xf numFmtId="43" fontId="0" fillId="0" borderId="12" xfId="2" applyFont="1" applyBorder="1" applyAlignment="1">
      <alignment horizontal="left"/>
    </xf>
    <xf numFmtId="43" fontId="0" fillId="2" borderId="12" xfId="2" applyFont="1" applyFill="1" applyBorder="1" applyAlignment="1">
      <alignment horizontal="left"/>
    </xf>
    <xf numFmtId="1" fontId="0" fillId="2" borderId="12" xfId="0" applyNumberFormat="1" applyFont="1" applyFill="1" applyBorder="1"/>
    <xf numFmtId="9" fontId="0" fillId="0" borderId="12" xfId="0" applyNumberFormat="1" applyFont="1" applyBorder="1"/>
    <xf numFmtId="1" fontId="0" fillId="4" borderId="12" xfId="0" applyNumberFormat="1" applyFont="1" applyFill="1" applyBorder="1"/>
    <xf numFmtId="2" fontId="0" fillId="5" borderId="12" xfId="0" applyNumberFormat="1" applyFont="1" applyFill="1" applyBorder="1"/>
    <xf numFmtId="0" fontId="0" fillId="5" borderId="12" xfId="0" applyFont="1" applyFill="1" applyBorder="1"/>
    <xf numFmtId="43" fontId="0" fillId="0" borderId="12" xfId="0" applyNumberFormat="1" applyFont="1" applyBorder="1"/>
    <xf numFmtId="0" fontId="0" fillId="2" borderId="12" xfId="0" applyNumberFormat="1" applyFont="1" applyFill="1" applyBorder="1"/>
    <xf numFmtId="0" fontId="0" fillId="0" borderId="15" xfId="0" applyFont="1" applyBorder="1" applyAlignment="1">
      <alignment horizontal="center" vertical="center"/>
    </xf>
    <xf numFmtId="0" fontId="0" fillId="0" borderId="15" xfId="0" applyFont="1" applyBorder="1"/>
    <xf numFmtId="164" fontId="1" fillId="0" borderId="15" xfId="2" applyNumberFormat="1" applyFont="1" applyBorder="1" applyAlignment="1">
      <alignment horizontal="left" wrapText="1"/>
    </xf>
    <xf numFmtId="9" fontId="1" fillId="0" borderId="15" xfId="0" applyNumberFormat="1" applyFont="1" applyBorder="1" applyAlignment="1">
      <alignment horizontal="left" wrapText="1"/>
    </xf>
    <xf numFmtId="43" fontId="1" fillId="0" borderId="15" xfId="2" applyNumberFormat="1" applyFont="1" applyBorder="1" applyAlignment="1">
      <alignment horizontal="left" wrapText="1"/>
    </xf>
    <xf numFmtId="43" fontId="1" fillId="3" borderId="15" xfId="2" applyNumberFormat="1" applyFont="1" applyFill="1" applyBorder="1" applyAlignment="1">
      <alignment horizontal="right" wrapText="1"/>
    </xf>
    <xf numFmtId="43" fontId="0" fillId="0" borderId="15" xfId="0" applyNumberFormat="1" applyFont="1" applyBorder="1"/>
    <xf numFmtId="9" fontId="0" fillId="0" borderId="15" xfId="0" applyNumberFormat="1" applyFont="1" applyBorder="1" applyAlignment="1">
      <alignment horizontal="left"/>
    </xf>
    <xf numFmtId="43" fontId="0" fillId="0" borderId="15" xfId="2" applyFont="1" applyBorder="1" applyAlignment="1">
      <alignment horizontal="left"/>
    </xf>
    <xf numFmtId="43" fontId="0" fillId="2" borderId="15" xfId="2" applyFont="1" applyFill="1" applyBorder="1" applyAlignment="1">
      <alignment horizontal="left"/>
    </xf>
    <xf numFmtId="1" fontId="0" fillId="2" borderId="15" xfId="0" applyNumberFormat="1" applyFont="1" applyFill="1" applyBorder="1"/>
    <xf numFmtId="9" fontId="0" fillId="0" borderId="15" xfId="0" applyNumberFormat="1" applyFont="1" applyBorder="1"/>
    <xf numFmtId="1" fontId="0" fillId="4" borderId="15" xfId="0" applyNumberFormat="1" applyFont="1" applyFill="1" applyBorder="1"/>
    <xf numFmtId="2" fontId="0" fillId="5" borderId="15" xfId="0" applyNumberFormat="1" applyFont="1" applyFill="1" applyBorder="1"/>
    <xf numFmtId="0" fontId="0" fillId="5" borderId="15" xfId="0" applyFont="1" applyFill="1" applyBorder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20" fontId="0" fillId="0" borderId="0" xfId="0" applyNumberFormat="1" applyFont="1" applyAlignment="1">
      <alignment horizontal="left"/>
    </xf>
    <xf numFmtId="20" fontId="0" fillId="0" borderId="0" xfId="0" applyNumberFormat="1" applyFont="1"/>
    <xf numFmtId="0" fontId="0" fillId="0" borderId="14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43" fontId="4" fillId="0" borderId="3" xfId="2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9" fontId="0" fillId="0" borderId="0" xfId="3" applyFont="1"/>
    <xf numFmtId="164" fontId="0" fillId="0" borderId="0" xfId="0" applyNumberFormat="1" applyFont="1"/>
    <xf numFmtId="166" fontId="0" fillId="0" borderId="0" xfId="0" applyNumberFormat="1"/>
    <xf numFmtId="0" fontId="0" fillId="0" borderId="7" xfId="0" applyBorder="1" applyAlignment="1">
      <alignment horizontal="center" vertical="center"/>
    </xf>
    <xf numFmtId="0" fontId="0" fillId="0" borderId="18" xfId="0" applyBorder="1"/>
  </cellXfs>
  <cellStyles count="4">
    <cellStyle name="Comma" xfId="2" builtinId="3"/>
    <cellStyle name="Normal" xfId="0" builtinId="0"/>
    <cellStyle name="Normal 2" xfId="1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tabSelected="1" workbookViewId="0">
      <selection activeCell="D20" sqref="D20"/>
    </sheetView>
  </sheetViews>
  <sheetFormatPr defaultRowHeight="15" x14ac:dyDescent="0.25"/>
  <cols>
    <col min="3" max="3" width="17.28515625" bestFit="1" customWidth="1"/>
    <col min="4" max="4" width="15.140625" bestFit="1" customWidth="1"/>
    <col min="5" max="5" width="16.5703125" customWidth="1"/>
    <col min="6" max="6" width="12.140625" bestFit="1" customWidth="1"/>
  </cols>
  <sheetData>
    <row r="2" spans="1:6" x14ac:dyDescent="0.25">
      <c r="A2" t="s">
        <v>239</v>
      </c>
      <c r="F2" s="99">
        <v>45390</v>
      </c>
    </row>
    <row r="3" spans="1:6" x14ac:dyDescent="0.25">
      <c r="A3" s="100" t="s">
        <v>66</v>
      </c>
      <c r="B3" s="100"/>
      <c r="C3" s="100" t="s">
        <v>240</v>
      </c>
      <c r="D3" s="100" t="s">
        <v>241</v>
      </c>
      <c r="E3" s="100" t="s">
        <v>242</v>
      </c>
      <c r="F3" s="100" t="s">
        <v>238</v>
      </c>
    </row>
    <row r="4" spans="1:6" x14ac:dyDescent="0.25">
      <c r="A4">
        <v>1</v>
      </c>
      <c r="B4" s="2" t="s">
        <v>220</v>
      </c>
      <c r="C4" s="5">
        <f>Sheet1!AB182</f>
        <v>9089278.5632000063</v>
      </c>
      <c r="D4" s="5">
        <f>Sheet1!V182</f>
        <v>4146369.4368000026</v>
      </c>
      <c r="E4" s="97">
        <f t="shared" ref="E4:E5" si="0">D4/C4</f>
        <v>0.45618245804320645</v>
      </c>
    </row>
    <row r="5" spans="1:6" x14ac:dyDescent="0.25">
      <c r="A5">
        <v>2</v>
      </c>
      <c r="B5" s="2" t="s">
        <v>221</v>
      </c>
      <c r="C5" s="5">
        <f>Sheet1!AC182</f>
        <v>7603604.4500000002</v>
      </c>
      <c r="D5" s="5">
        <f>Sheet1!X182</f>
        <v>5632043.549999998</v>
      </c>
      <c r="E5" s="97">
        <f t="shared" si="0"/>
        <v>0.74070706689641097</v>
      </c>
    </row>
    <row r="6" spans="1:6" x14ac:dyDescent="0.25">
      <c r="A6">
        <v>3</v>
      </c>
      <c r="B6" s="2" t="s">
        <v>219</v>
      </c>
      <c r="C6" s="5">
        <f>Sheet1!Z182</f>
        <v>13235648.000000006</v>
      </c>
      <c r="D6" s="5">
        <v>500000</v>
      </c>
      <c r="E6" s="97">
        <f>D6/C6</f>
        <v>3.7776767710957546E-2</v>
      </c>
    </row>
    <row r="7" spans="1:6" x14ac:dyDescent="0.25">
      <c r="A7" s="101"/>
      <c r="B7" s="101"/>
      <c r="C7" s="101"/>
      <c r="D7" s="101"/>
      <c r="E7" s="101"/>
      <c r="F7" s="10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8"/>
  <sheetViews>
    <sheetView topLeftCell="H1" workbookViewId="0">
      <pane ySplit="2" topLeftCell="A171" activePane="bottomLeft" state="frozen"/>
      <selection pane="bottomLeft" activeCell="AA182" sqref="AA182"/>
    </sheetView>
  </sheetViews>
  <sheetFormatPr defaultRowHeight="15" x14ac:dyDescent="0.25"/>
  <cols>
    <col min="1" max="2" width="9.140625" style="1"/>
    <col min="3" max="3" width="47" style="1" customWidth="1"/>
    <col min="4" max="4" width="10.140625" style="1" bestFit="1" customWidth="1"/>
    <col min="5" max="5" width="9.5703125" style="80" customWidth="1"/>
    <col min="6" max="6" width="11" style="81" bestFit="1" customWidth="1"/>
    <col min="7" max="7" width="12" style="81" bestFit="1" customWidth="1"/>
    <col min="8" max="8" width="11.7109375" style="81" customWidth="1"/>
    <col min="9" max="9" width="11.28515625" style="1" customWidth="1"/>
    <col min="10" max="10" width="9.42578125" style="1" customWidth="1"/>
    <col min="11" max="11" width="11.28515625" style="1" customWidth="1"/>
    <col min="12" max="12" width="12.42578125" style="1" customWidth="1"/>
    <col min="13" max="13" width="8.85546875" style="1" customWidth="1"/>
    <col min="14" max="14" width="10" style="1" customWidth="1"/>
    <col min="15" max="15" width="9.140625" style="1" customWidth="1"/>
    <col min="16" max="16" width="12.7109375" style="1" customWidth="1"/>
    <col min="17" max="17" width="11" style="1" customWidth="1"/>
    <col min="18" max="18" width="9.5703125" style="1" customWidth="1"/>
    <col min="19" max="19" width="9.5703125" style="1" bestFit="1" customWidth="1"/>
    <col min="20" max="20" width="18.7109375" style="1" bestFit="1" customWidth="1"/>
    <col min="21" max="21" width="13.42578125" style="1" customWidth="1"/>
    <col min="22" max="22" width="14.28515625" style="1" customWidth="1"/>
    <col min="23" max="23" width="10" style="1" customWidth="1"/>
    <col min="24" max="24" width="13" style="1" customWidth="1"/>
    <col min="25" max="25" width="2.28515625" style="1" customWidth="1"/>
    <col min="26" max="26" width="11.5703125" style="1" customWidth="1"/>
    <col min="27" max="29" width="15.28515625" style="1" customWidth="1"/>
    <col min="30" max="16384" width="9.140625" style="1"/>
  </cols>
  <sheetData>
    <row r="1" spans="1:29" ht="30" x14ac:dyDescent="0.25">
      <c r="C1" s="20"/>
      <c r="D1" s="20"/>
      <c r="E1" s="21" t="s">
        <v>234</v>
      </c>
      <c r="F1" s="21"/>
      <c r="G1" s="21"/>
      <c r="H1" s="21"/>
      <c r="I1" s="22" t="s">
        <v>235</v>
      </c>
      <c r="J1" s="22"/>
      <c r="K1" s="22"/>
      <c r="L1" s="22"/>
      <c r="M1" s="23" t="s">
        <v>209</v>
      </c>
      <c r="N1" s="24" t="s">
        <v>236</v>
      </c>
      <c r="O1" s="24"/>
      <c r="P1" s="24"/>
      <c r="Q1" s="24"/>
      <c r="R1" s="25" t="s">
        <v>210</v>
      </c>
      <c r="S1" s="26"/>
      <c r="T1" s="27"/>
      <c r="AA1" s="28" t="s">
        <v>223</v>
      </c>
      <c r="AB1" s="28"/>
      <c r="AC1" s="28"/>
    </row>
    <row r="2" spans="1:29" s="29" customFormat="1" ht="48" customHeight="1" x14ac:dyDescent="0.25">
      <c r="A2" s="85" t="s">
        <v>66</v>
      </c>
      <c r="B2" s="86" t="s">
        <v>171</v>
      </c>
      <c r="C2" s="86" t="s">
        <v>224</v>
      </c>
      <c r="D2" s="86" t="s">
        <v>211</v>
      </c>
      <c r="E2" s="86" t="s">
        <v>225</v>
      </c>
      <c r="F2" s="86" t="s">
        <v>226</v>
      </c>
      <c r="G2" s="86" t="s">
        <v>227</v>
      </c>
      <c r="H2" s="87" t="s">
        <v>228</v>
      </c>
      <c r="I2" s="86" t="s">
        <v>225</v>
      </c>
      <c r="J2" s="86" t="s">
        <v>226</v>
      </c>
      <c r="K2" s="86" t="s">
        <v>227</v>
      </c>
      <c r="L2" s="88" t="s">
        <v>228</v>
      </c>
      <c r="M2" s="89" t="s">
        <v>212</v>
      </c>
      <c r="N2" s="86" t="s">
        <v>225</v>
      </c>
      <c r="O2" s="86" t="s">
        <v>237</v>
      </c>
      <c r="P2" s="86" t="s">
        <v>227</v>
      </c>
      <c r="Q2" s="90" t="s">
        <v>228</v>
      </c>
      <c r="R2" s="91" t="s">
        <v>212</v>
      </c>
      <c r="S2" s="92" t="s">
        <v>213</v>
      </c>
      <c r="T2" s="92" t="s">
        <v>214</v>
      </c>
      <c r="U2" s="93" t="s">
        <v>215</v>
      </c>
      <c r="V2" s="94" t="s">
        <v>216</v>
      </c>
      <c r="W2" s="93" t="s">
        <v>217</v>
      </c>
      <c r="X2" s="94" t="s">
        <v>218</v>
      </c>
      <c r="Y2" s="95"/>
      <c r="Z2" s="95" t="s">
        <v>233</v>
      </c>
      <c r="AA2" s="95" t="s">
        <v>230</v>
      </c>
      <c r="AB2" s="95" t="s">
        <v>231</v>
      </c>
      <c r="AC2" s="96" t="s">
        <v>232</v>
      </c>
    </row>
    <row r="3" spans="1:29" ht="15.95" customHeight="1" x14ac:dyDescent="0.25">
      <c r="A3" s="30">
        <v>1</v>
      </c>
      <c r="B3" s="31" t="s">
        <v>174</v>
      </c>
      <c r="C3" s="7" t="s">
        <v>0</v>
      </c>
      <c r="D3" s="32">
        <v>100</v>
      </c>
      <c r="E3" s="33">
        <v>510</v>
      </c>
      <c r="F3" s="34">
        <v>0.35</v>
      </c>
      <c r="G3" s="35">
        <f>E3*F3</f>
        <v>178.5</v>
      </c>
      <c r="H3" s="36">
        <f>E3-G3</f>
        <v>331.5</v>
      </c>
      <c r="I3" s="37">
        <v>1084</v>
      </c>
      <c r="J3" s="38">
        <v>0.53</v>
      </c>
      <c r="K3" s="39">
        <f>I3*J3</f>
        <v>574.52</v>
      </c>
      <c r="L3" s="40">
        <f>I3-K3</f>
        <v>509.48</v>
      </c>
      <c r="M3" s="41">
        <f>(L3-H3)*100/L3</f>
        <v>34.933657847216772</v>
      </c>
      <c r="N3" s="32">
        <v>1070</v>
      </c>
      <c r="O3" s="42">
        <v>0.36</v>
      </c>
      <c r="P3" s="3">
        <f>N3*O3</f>
        <v>385.2</v>
      </c>
      <c r="Q3" s="4">
        <f>N3-P3</f>
        <v>684.8</v>
      </c>
      <c r="R3" s="43">
        <f>(Q3-H3)*100/Q3</f>
        <v>51.591705607476626</v>
      </c>
      <c r="S3" s="44">
        <f>MIN(H3,L3,Q3)</f>
        <v>331.5</v>
      </c>
      <c r="T3" s="45" t="s">
        <v>229</v>
      </c>
      <c r="U3" s="46">
        <f t="shared" ref="U3:U66" si="0">Q3-L3</f>
        <v>175.31999999999994</v>
      </c>
      <c r="V3" s="3">
        <f t="shared" ref="V3:V66" si="1">U3*D3</f>
        <v>17531.999999999993</v>
      </c>
      <c r="W3" s="46">
        <f>Q3-H3</f>
        <v>353.29999999999995</v>
      </c>
      <c r="X3" s="46">
        <f t="shared" ref="X3:X66" si="2">W3*D3</f>
        <v>35329.999999999993</v>
      </c>
      <c r="Y3" s="32"/>
      <c r="Z3" s="8">
        <f>Q3*D3</f>
        <v>68480</v>
      </c>
      <c r="AA3" s="8">
        <v>64200</v>
      </c>
      <c r="AB3" s="8">
        <f t="shared" ref="AB3:AB34" si="3">L3*D3</f>
        <v>50948</v>
      </c>
      <c r="AC3" s="9">
        <f t="shared" ref="AC3:AC34" si="4">H3*D3</f>
        <v>33150</v>
      </c>
    </row>
    <row r="4" spans="1:29" ht="15.95" customHeight="1" x14ac:dyDescent="0.25">
      <c r="A4" s="47">
        <v>2</v>
      </c>
      <c r="B4" s="48">
        <v>5655005</v>
      </c>
      <c r="C4" s="10" t="s">
        <v>1</v>
      </c>
      <c r="D4" s="49">
        <v>100</v>
      </c>
      <c r="E4" s="50">
        <v>770</v>
      </c>
      <c r="F4" s="51">
        <v>0.35</v>
      </c>
      <c r="G4" s="52">
        <f t="shared" ref="G4:G67" si="5">E4*F4</f>
        <v>269.5</v>
      </c>
      <c r="H4" s="53">
        <f t="shared" ref="H4:H67" si="6">E4-G4</f>
        <v>500.5</v>
      </c>
      <c r="I4" s="54">
        <v>1326</v>
      </c>
      <c r="J4" s="55">
        <v>0.53</v>
      </c>
      <c r="K4" s="56">
        <f t="shared" ref="K4:K64" si="7">I4*J4</f>
        <v>702.78000000000009</v>
      </c>
      <c r="L4" s="57">
        <f t="shared" ref="L4:L64" si="8">I4-K4</f>
        <v>623.21999999999991</v>
      </c>
      <c r="M4" s="58">
        <f t="shared" ref="M4:M66" si="9">(L4-H4)*100/L4</f>
        <v>19.691280767626189</v>
      </c>
      <c r="N4" s="49">
        <v>1340</v>
      </c>
      <c r="O4" s="59">
        <v>0.36</v>
      </c>
      <c r="P4" s="11">
        <f t="shared" ref="P4:P64" si="10">N4*O4</f>
        <v>482.4</v>
      </c>
      <c r="Q4" s="12">
        <f t="shared" ref="Q4:Q64" si="11">N4-P4</f>
        <v>857.6</v>
      </c>
      <c r="R4" s="60">
        <f t="shared" ref="R4:R67" si="12">(Q4-H4)*100/Q4</f>
        <v>41.63945895522388</v>
      </c>
      <c r="S4" s="61">
        <f t="shared" ref="S4:S67" si="13">MIN(H4,L4,Q4)</f>
        <v>500.5</v>
      </c>
      <c r="T4" s="62" t="s">
        <v>229</v>
      </c>
      <c r="U4" s="63">
        <f t="shared" si="0"/>
        <v>234.38000000000011</v>
      </c>
      <c r="V4" s="11">
        <f t="shared" si="1"/>
        <v>23438.000000000011</v>
      </c>
      <c r="W4" s="63">
        <f t="shared" ref="W3:W66" si="14">Q4-H4</f>
        <v>357.1</v>
      </c>
      <c r="X4" s="63">
        <f t="shared" si="2"/>
        <v>35710</v>
      </c>
      <c r="Y4" s="49"/>
      <c r="Z4" s="13">
        <f>Q4*D4</f>
        <v>85760</v>
      </c>
      <c r="AA4" s="13">
        <v>80400</v>
      </c>
      <c r="AB4" s="13">
        <f t="shared" si="3"/>
        <v>62321.999999999993</v>
      </c>
      <c r="AC4" s="14">
        <f t="shared" si="4"/>
        <v>50050</v>
      </c>
    </row>
    <row r="5" spans="1:29" ht="15.95" customHeight="1" x14ac:dyDescent="0.25">
      <c r="A5" s="47">
        <v>3</v>
      </c>
      <c r="B5" s="48" t="s">
        <v>175</v>
      </c>
      <c r="C5" s="10" t="s">
        <v>2</v>
      </c>
      <c r="D5" s="49">
        <v>1000</v>
      </c>
      <c r="E5" s="50">
        <v>510</v>
      </c>
      <c r="F5" s="51">
        <v>0.35</v>
      </c>
      <c r="G5" s="52">
        <f t="shared" si="5"/>
        <v>178.5</v>
      </c>
      <c r="H5" s="53">
        <f t="shared" si="6"/>
        <v>331.5</v>
      </c>
      <c r="I5" s="54">
        <v>937.5</v>
      </c>
      <c r="J5" s="55">
        <v>0.53</v>
      </c>
      <c r="K5" s="56">
        <f t="shared" si="7"/>
        <v>496.875</v>
      </c>
      <c r="L5" s="57">
        <f t="shared" si="8"/>
        <v>440.625</v>
      </c>
      <c r="M5" s="58">
        <f t="shared" si="9"/>
        <v>24.76595744680851</v>
      </c>
      <c r="N5" s="49">
        <v>925</v>
      </c>
      <c r="O5" s="59">
        <v>0.36</v>
      </c>
      <c r="P5" s="11">
        <f t="shared" si="10"/>
        <v>333</v>
      </c>
      <c r="Q5" s="12">
        <f t="shared" si="11"/>
        <v>592</v>
      </c>
      <c r="R5" s="60">
        <f t="shared" si="12"/>
        <v>44.003378378378379</v>
      </c>
      <c r="S5" s="61">
        <f t="shared" si="13"/>
        <v>331.5</v>
      </c>
      <c r="T5" s="62" t="s">
        <v>229</v>
      </c>
      <c r="U5" s="63">
        <f t="shared" si="0"/>
        <v>151.375</v>
      </c>
      <c r="V5" s="11">
        <f t="shared" si="1"/>
        <v>151375</v>
      </c>
      <c r="W5" s="63">
        <f t="shared" si="14"/>
        <v>260.5</v>
      </c>
      <c r="X5" s="63">
        <f t="shared" si="2"/>
        <v>260500</v>
      </c>
      <c r="Y5" s="49"/>
      <c r="Z5" s="13">
        <f t="shared" ref="Z5:Z68" si="15">Q5*D5</f>
        <v>592000</v>
      </c>
      <c r="AA5" s="13">
        <v>555000</v>
      </c>
      <c r="AB5" s="13">
        <f t="shared" si="3"/>
        <v>440625</v>
      </c>
      <c r="AC5" s="14">
        <f t="shared" si="4"/>
        <v>331500</v>
      </c>
    </row>
    <row r="6" spans="1:29" ht="15.95" customHeight="1" x14ac:dyDescent="0.25">
      <c r="A6" s="47">
        <v>4</v>
      </c>
      <c r="B6" s="48">
        <v>5655006</v>
      </c>
      <c r="C6" s="10" t="s">
        <v>3</v>
      </c>
      <c r="D6" s="49">
        <v>500</v>
      </c>
      <c r="E6" s="50">
        <v>770</v>
      </c>
      <c r="F6" s="51">
        <v>0.35</v>
      </c>
      <c r="G6" s="52">
        <f t="shared" si="5"/>
        <v>269.5</v>
      </c>
      <c r="H6" s="53">
        <f t="shared" si="6"/>
        <v>500.5</v>
      </c>
      <c r="I6" s="54">
        <v>1131.5</v>
      </c>
      <c r="J6" s="55">
        <v>0.53</v>
      </c>
      <c r="K6" s="56">
        <f t="shared" si="7"/>
        <v>599.69500000000005</v>
      </c>
      <c r="L6" s="57">
        <f t="shared" si="8"/>
        <v>531.80499999999995</v>
      </c>
      <c r="M6" s="58">
        <f t="shared" si="9"/>
        <v>5.8865561625031644</v>
      </c>
      <c r="N6" s="49">
        <v>1175</v>
      </c>
      <c r="O6" s="59">
        <v>0.36</v>
      </c>
      <c r="P6" s="11">
        <f t="shared" si="10"/>
        <v>423</v>
      </c>
      <c r="Q6" s="12">
        <f t="shared" si="11"/>
        <v>752</v>
      </c>
      <c r="R6" s="60">
        <f t="shared" si="12"/>
        <v>33.444148936170215</v>
      </c>
      <c r="S6" s="61">
        <f t="shared" si="13"/>
        <v>500.5</v>
      </c>
      <c r="T6" s="62" t="s">
        <v>222</v>
      </c>
      <c r="U6" s="63">
        <f t="shared" si="0"/>
        <v>220.19500000000005</v>
      </c>
      <c r="V6" s="11">
        <f t="shared" si="1"/>
        <v>110097.50000000003</v>
      </c>
      <c r="W6" s="63">
        <f t="shared" si="14"/>
        <v>251.5</v>
      </c>
      <c r="X6" s="63">
        <f t="shared" si="2"/>
        <v>125750</v>
      </c>
      <c r="Y6" s="49"/>
      <c r="Z6" s="13">
        <f t="shared" si="15"/>
        <v>376000</v>
      </c>
      <c r="AA6" s="13">
        <v>352500</v>
      </c>
      <c r="AB6" s="13">
        <f t="shared" si="3"/>
        <v>265902.5</v>
      </c>
      <c r="AC6" s="14">
        <f t="shared" si="4"/>
        <v>250250</v>
      </c>
    </row>
    <row r="7" spans="1:29" ht="15.95" customHeight="1" x14ac:dyDescent="0.25">
      <c r="A7" s="47">
        <v>5</v>
      </c>
      <c r="B7" s="48" t="s">
        <v>176</v>
      </c>
      <c r="C7" s="10" t="s">
        <v>4</v>
      </c>
      <c r="D7" s="49">
        <v>500</v>
      </c>
      <c r="E7" s="50">
        <v>550</v>
      </c>
      <c r="F7" s="51">
        <v>0.35</v>
      </c>
      <c r="G7" s="52">
        <f t="shared" si="5"/>
        <v>192.5</v>
      </c>
      <c r="H7" s="53">
        <f t="shared" si="6"/>
        <v>357.5</v>
      </c>
      <c r="I7" s="54">
        <v>942.5</v>
      </c>
      <c r="J7" s="55">
        <v>0.53</v>
      </c>
      <c r="K7" s="56">
        <f t="shared" si="7"/>
        <v>499.52500000000003</v>
      </c>
      <c r="L7" s="57">
        <f t="shared" si="8"/>
        <v>442.97499999999997</v>
      </c>
      <c r="M7" s="58">
        <f t="shared" si="9"/>
        <v>19.295671313279524</v>
      </c>
      <c r="N7" s="49">
        <v>925</v>
      </c>
      <c r="O7" s="59">
        <v>0.36</v>
      </c>
      <c r="P7" s="11">
        <f t="shared" si="10"/>
        <v>333</v>
      </c>
      <c r="Q7" s="12">
        <f t="shared" si="11"/>
        <v>592</v>
      </c>
      <c r="R7" s="60">
        <f t="shared" si="12"/>
        <v>39.611486486486484</v>
      </c>
      <c r="S7" s="61">
        <f t="shared" si="13"/>
        <v>357.5</v>
      </c>
      <c r="T7" s="62" t="s">
        <v>229</v>
      </c>
      <c r="U7" s="63">
        <f t="shared" si="0"/>
        <v>149.02500000000003</v>
      </c>
      <c r="V7" s="11">
        <f t="shared" si="1"/>
        <v>74512.500000000015</v>
      </c>
      <c r="W7" s="63">
        <f t="shared" si="14"/>
        <v>234.5</v>
      </c>
      <c r="X7" s="63">
        <f t="shared" si="2"/>
        <v>117250</v>
      </c>
      <c r="Y7" s="49"/>
      <c r="Z7" s="13">
        <f t="shared" si="15"/>
        <v>296000</v>
      </c>
      <c r="AA7" s="13">
        <v>277500</v>
      </c>
      <c r="AB7" s="13">
        <f t="shared" si="3"/>
        <v>221487.49999999997</v>
      </c>
      <c r="AC7" s="14">
        <f t="shared" si="4"/>
        <v>178750</v>
      </c>
    </row>
    <row r="8" spans="1:29" ht="15.95" customHeight="1" x14ac:dyDescent="0.25">
      <c r="A8" s="47">
        <v>6</v>
      </c>
      <c r="B8" s="48">
        <v>5655008</v>
      </c>
      <c r="C8" s="10" t="s">
        <v>5</v>
      </c>
      <c r="D8" s="49">
        <v>500</v>
      </c>
      <c r="E8" s="50">
        <v>750</v>
      </c>
      <c r="F8" s="51">
        <v>0.35</v>
      </c>
      <c r="G8" s="52">
        <f t="shared" si="5"/>
        <v>262.5</v>
      </c>
      <c r="H8" s="53">
        <f t="shared" si="6"/>
        <v>487.5</v>
      </c>
      <c r="I8" s="54">
        <v>1131.5</v>
      </c>
      <c r="J8" s="55">
        <v>0.53</v>
      </c>
      <c r="K8" s="56">
        <f t="shared" si="7"/>
        <v>599.69500000000005</v>
      </c>
      <c r="L8" s="57">
        <f t="shared" si="8"/>
        <v>531.80499999999995</v>
      </c>
      <c r="M8" s="58">
        <f t="shared" si="9"/>
        <v>8.3310611972433417</v>
      </c>
      <c r="N8" s="49">
        <v>1175</v>
      </c>
      <c r="O8" s="59">
        <v>0.36</v>
      </c>
      <c r="P8" s="11">
        <f t="shared" si="10"/>
        <v>423</v>
      </c>
      <c r="Q8" s="12">
        <f t="shared" si="11"/>
        <v>752</v>
      </c>
      <c r="R8" s="60">
        <f t="shared" si="12"/>
        <v>35.172872340425535</v>
      </c>
      <c r="S8" s="61">
        <f t="shared" si="13"/>
        <v>487.5</v>
      </c>
      <c r="T8" s="62" t="s">
        <v>229</v>
      </c>
      <c r="U8" s="63">
        <f t="shared" si="0"/>
        <v>220.19500000000005</v>
      </c>
      <c r="V8" s="11">
        <f t="shared" si="1"/>
        <v>110097.50000000003</v>
      </c>
      <c r="W8" s="63">
        <f t="shared" si="14"/>
        <v>264.5</v>
      </c>
      <c r="X8" s="63">
        <f t="shared" si="2"/>
        <v>132250</v>
      </c>
      <c r="Y8" s="49"/>
      <c r="Z8" s="13">
        <f t="shared" si="15"/>
        <v>376000</v>
      </c>
      <c r="AA8" s="13">
        <v>352500</v>
      </c>
      <c r="AB8" s="13">
        <f t="shared" si="3"/>
        <v>265902.5</v>
      </c>
      <c r="AC8" s="14">
        <f t="shared" si="4"/>
        <v>243750</v>
      </c>
    </row>
    <row r="9" spans="1:29" ht="15.95" customHeight="1" x14ac:dyDescent="0.25">
      <c r="A9" s="47">
        <v>7</v>
      </c>
      <c r="B9" s="48" t="s">
        <v>177</v>
      </c>
      <c r="C9" s="10" t="s">
        <v>8</v>
      </c>
      <c r="D9" s="49">
        <v>500</v>
      </c>
      <c r="E9" s="50">
        <v>540</v>
      </c>
      <c r="F9" s="51">
        <v>0.35</v>
      </c>
      <c r="G9" s="52">
        <f t="shared" si="5"/>
        <v>189</v>
      </c>
      <c r="H9" s="53">
        <f t="shared" si="6"/>
        <v>351</v>
      </c>
      <c r="I9" s="54">
        <v>826</v>
      </c>
      <c r="J9" s="55">
        <v>0.53</v>
      </c>
      <c r="K9" s="56">
        <f t="shared" si="7"/>
        <v>437.78000000000003</v>
      </c>
      <c r="L9" s="57">
        <f t="shared" si="8"/>
        <v>388.21999999999997</v>
      </c>
      <c r="M9" s="58">
        <f t="shared" si="9"/>
        <v>9.5873473803513409</v>
      </c>
      <c r="N9" s="49">
        <v>1000</v>
      </c>
      <c r="O9" s="59">
        <v>0.36</v>
      </c>
      <c r="P9" s="11">
        <f t="shared" si="10"/>
        <v>360</v>
      </c>
      <c r="Q9" s="12">
        <f t="shared" si="11"/>
        <v>640</v>
      </c>
      <c r="R9" s="60">
        <f t="shared" si="12"/>
        <v>45.15625</v>
      </c>
      <c r="S9" s="61">
        <f t="shared" si="13"/>
        <v>351</v>
      </c>
      <c r="T9" s="62" t="s">
        <v>229</v>
      </c>
      <c r="U9" s="63">
        <f t="shared" si="0"/>
        <v>251.78000000000003</v>
      </c>
      <c r="V9" s="11">
        <f t="shared" si="1"/>
        <v>125890.00000000001</v>
      </c>
      <c r="W9" s="63">
        <f t="shared" si="14"/>
        <v>289</v>
      </c>
      <c r="X9" s="63">
        <f t="shared" si="2"/>
        <v>144500</v>
      </c>
      <c r="Y9" s="49"/>
      <c r="Z9" s="13">
        <f t="shared" si="15"/>
        <v>320000</v>
      </c>
      <c r="AA9" s="13">
        <v>300000</v>
      </c>
      <c r="AB9" s="13">
        <f t="shared" si="3"/>
        <v>194109.99999999997</v>
      </c>
      <c r="AC9" s="14">
        <f t="shared" si="4"/>
        <v>175500</v>
      </c>
    </row>
    <row r="10" spans="1:29" ht="15.95" customHeight="1" x14ac:dyDescent="0.25">
      <c r="A10" s="47">
        <v>8</v>
      </c>
      <c r="B10" s="48">
        <v>5655012</v>
      </c>
      <c r="C10" s="10" t="s">
        <v>9</v>
      </c>
      <c r="D10" s="49">
        <v>500</v>
      </c>
      <c r="E10" s="50">
        <v>740</v>
      </c>
      <c r="F10" s="51">
        <v>0.35</v>
      </c>
      <c r="G10" s="52">
        <f t="shared" si="5"/>
        <v>259</v>
      </c>
      <c r="H10" s="53">
        <f t="shared" si="6"/>
        <v>481</v>
      </c>
      <c r="I10" s="54">
        <v>1004.5</v>
      </c>
      <c r="J10" s="55">
        <v>0.53</v>
      </c>
      <c r="K10" s="56">
        <f t="shared" si="7"/>
        <v>532.38499999999999</v>
      </c>
      <c r="L10" s="57">
        <f t="shared" si="8"/>
        <v>472.11500000000001</v>
      </c>
      <c r="M10" s="58">
        <f t="shared" si="9"/>
        <v>-1.8819567266449893</v>
      </c>
      <c r="N10" s="49">
        <v>1040</v>
      </c>
      <c r="O10" s="59">
        <v>0.36</v>
      </c>
      <c r="P10" s="11">
        <f t="shared" si="10"/>
        <v>374.4</v>
      </c>
      <c r="Q10" s="12">
        <f t="shared" si="11"/>
        <v>665.6</v>
      </c>
      <c r="R10" s="60">
        <f t="shared" si="12"/>
        <v>27.734375000000004</v>
      </c>
      <c r="S10" s="61">
        <f t="shared" si="13"/>
        <v>472.11500000000001</v>
      </c>
      <c r="T10" s="62" t="s">
        <v>222</v>
      </c>
      <c r="U10" s="63">
        <f t="shared" si="0"/>
        <v>193.48500000000001</v>
      </c>
      <c r="V10" s="11">
        <f t="shared" si="1"/>
        <v>96742.5</v>
      </c>
      <c r="W10" s="63">
        <f t="shared" si="14"/>
        <v>184.60000000000002</v>
      </c>
      <c r="X10" s="63">
        <f t="shared" si="2"/>
        <v>92300.000000000015</v>
      </c>
      <c r="Y10" s="49"/>
      <c r="Z10" s="13">
        <f t="shared" si="15"/>
        <v>332800</v>
      </c>
      <c r="AA10" s="13">
        <v>312000</v>
      </c>
      <c r="AB10" s="13">
        <f t="shared" si="3"/>
        <v>236057.5</v>
      </c>
      <c r="AC10" s="14">
        <f t="shared" si="4"/>
        <v>240500</v>
      </c>
    </row>
    <row r="11" spans="1:29" ht="15.95" customHeight="1" x14ac:dyDescent="0.25">
      <c r="A11" s="47">
        <v>9</v>
      </c>
      <c r="B11" s="48" t="s">
        <v>178</v>
      </c>
      <c r="C11" s="10" t="s">
        <v>10</v>
      </c>
      <c r="D11" s="49">
        <v>1000</v>
      </c>
      <c r="E11" s="50">
        <v>550</v>
      </c>
      <c r="F11" s="51">
        <v>0.35</v>
      </c>
      <c r="G11" s="52">
        <f t="shared" si="5"/>
        <v>192.5</v>
      </c>
      <c r="H11" s="53">
        <f t="shared" si="6"/>
        <v>357.5</v>
      </c>
      <c r="I11" s="54">
        <v>810</v>
      </c>
      <c r="J11" s="55">
        <v>0.53</v>
      </c>
      <c r="K11" s="56">
        <f t="shared" si="7"/>
        <v>429.3</v>
      </c>
      <c r="L11" s="57">
        <f t="shared" si="8"/>
        <v>380.7</v>
      </c>
      <c r="M11" s="58">
        <f t="shared" si="9"/>
        <v>6.0940372997110561</v>
      </c>
      <c r="N11" s="49">
        <v>1050</v>
      </c>
      <c r="O11" s="59">
        <v>0.36</v>
      </c>
      <c r="P11" s="11">
        <f t="shared" si="10"/>
        <v>378</v>
      </c>
      <c r="Q11" s="12">
        <f t="shared" si="11"/>
        <v>672</v>
      </c>
      <c r="R11" s="60">
        <f t="shared" si="12"/>
        <v>46.800595238095241</v>
      </c>
      <c r="S11" s="61">
        <f t="shared" si="13"/>
        <v>357.5</v>
      </c>
      <c r="T11" s="62" t="s">
        <v>222</v>
      </c>
      <c r="U11" s="63">
        <f t="shared" si="0"/>
        <v>291.3</v>
      </c>
      <c r="V11" s="11">
        <f t="shared" si="1"/>
        <v>291300</v>
      </c>
      <c r="W11" s="63">
        <f t="shared" si="14"/>
        <v>314.5</v>
      </c>
      <c r="X11" s="63">
        <f t="shared" si="2"/>
        <v>314500</v>
      </c>
      <c r="Y11" s="49"/>
      <c r="Z11" s="13">
        <f t="shared" si="15"/>
        <v>672000</v>
      </c>
      <c r="AA11" s="13">
        <v>630000</v>
      </c>
      <c r="AB11" s="13">
        <f t="shared" si="3"/>
        <v>380700</v>
      </c>
      <c r="AC11" s="14">
        <f t="shared" si="4"/>
        <v>357500</v>
      </c>
    </row>
    <row r="12" spans="1:29" ht="15.95" customHeight="1" x14ac:dyDescent="0.25">
      <c r="A12" s="47">
        <v>10</v>
      </c>
      <c r="B12" s="48">
        <v>5655016</v>
      </c>
      <c r="C12" s="10" t="s">
        <v>11</v>
      </c>
      <c r="D12" s="49">
        <v>500</v>
      </c>
      <c r="E12" s="50">
        <v>750</v>
      </c>
      <c r="F12" s="51">
        <v>0.35</v>
      </c>
      <c r="G12" s="52">
        <f t="shared" si="5"/>
        <v>262.5</v>
      </c>
      <c r="H12" s="53">
        <f t="shared" si="6"/>
        <v>487.5</v>
      </c>
      <c r="I12" s="54">
        <v>1002</v>
      </c>
      <c r="J12" s="55">
        <v>0.53</v>
      </c>
      <c r="K12" s="56">
        <f t="shared" si="7"/>
        <v>531.06000000000006</v>
      </c>
      <c r="L12" s="57">
        <f t="shared" si="8"/>
        <v>470.93999999999994</v>
      </c>
      <c r="M12" s="58">
        <f t="shared" si="9"/>
        <v>-3.5163715122945729</v>
      </c>
      <c r="N12" s="49">
        <v>1015</v>
      </c>
      <c r="O12" s="59">
        <v>0.36</v>
      </c>
      <c r="P12" s="11">
        <f t="shared" si="10"/>
        <v>365.4</v>
      </c>
      <c r="Q12" s="12">
        <f t="shared" si="11"/>
        <v>649.6</v>
      </c>
      <c r="R12" s="60">
        <f t="shared" si="12"/>
        <v>24.953817733990149</v>
      </c>
      <c r="S12" s="61">
        <f t="shared" si="13"/>
        <v>470.93999999999994</v>
      </c>
      <c r="T12" s="62" t="s">
        <v>222</v>
      </c>
      <c r="U12" s="63">
        <f t="shared" si="0"/>
        <v>178.66000000000008</v>
      </c>
      <c r="V12" s="11">
        <f t="shared" si="1"/>
        <v>89330.000000000044</v>
      </c>
      <c r="W12" s="63">
        <f t="shared" si="14"/>
        <v>162.10000000000002</v>
      </c>
      <c r="X12" s="63">
        <f t="shared" si="2"/>
        <v>81050.000000000015</v>
      </c>
      <c r="Y12" s="49"/>
      <c r="Z12" s="13">
        <f t="shared" si="15"/>
        <v>324800</v>
      </c>
      <c r="AA12" s="13">
        <v>304500</v>
      </c>
      <c r="AB12" s="13">
        <f t="shared" si="3"/>
        <v>235469.99999999997</v>
      </c>
      <c r="AC12" s="14">
        <f t="shared" si="4"/>
        <v>243750</v>
      </c>
    </row>
    <row r="13" spans="1:29" ht="15.95" customHeight="1" x14ac:dyDescent="0.25">
      <c r="A13" s="47">
        <v>11</v>
      </c>
      <c r="B13" s="48" t="s">
        <v>179</v>
      </c>
      <c r="C13" s="10" t="s">
        <v>12</v>
      </c>
      <c r="D13" s="49">
        <v>100</v>
      </c>
      <c r="E13" s="50">
        <v>750</v>
      </c>
      <c r="F13" s="51">
        <v>0.35</v>
      </c>
      <c r="G13" s="52">
        <f t="shared" si="5"/>
        <v>262.5</v>
      </c>
      <c r="H13" s="53">
        <f t="shared" si="6"/>
        <v>487.5</v>
      </c>
      <c r="I13" s="54">
        <v>1131.5</v>
      </c>
      <c r="J13" s="55">
        <v>0.53</v>
      </c>
      <c r="K13" s="56">
        <f t="shared" si="7"/>
        <v>599.69500000000005</v>
      </c>
      <c r="L13" s="57">
        <f t="shared" si="8"/>
        <v>531.80499999999995</v>
      </c>
      <c r="M13" s="58">
        <f t="shared" si="9"/>
        <v>8.3310611972433417</v>
      </c>
      <c r="N13" s="49">
        <v>1235</v>
      </c>
      <c r="O13" s="59">
        <v>0.36</v>
      </c>
      <c r="P13" s="11">
        <f t="shared" si="10"/>
        <v>444.59999999999997</v>
      </c>
      <c r="Q13" s="12">
        <f t="shared" si="11"/>
        <v>790.40000000000009</v>
      </c>
      <c r="R13" s="60">
        <f t="shared" si="12"/>
        <v>38.322368421052637</v>
      </c>
      <c r="S13" s="61">
        <f t="shared" si="13"/>
        <v>487.5</v>
      </c>
      <c r="T13" s="62" t="s">
        <v>229</v>
      </c>
      <c r="U13" s="63">
        <f t="shared" si="0"/>
        <v>258.59500000000014</v>
      </c>
      <c r="V13" s="11">
        <f t="shared" si="1"/>
        <v>25859.500000000015</v>
      </c>
      <c r="W13" s="63">
        <f t="shared" si="14"/>
        <v>302.90000000000009</v>
      </c>
      <c r="X13" s="63">
        <f t="shared" si="2"/>
        <v>30290.000000000007</v>
      </c>
      <c r="Y13" s="49"/>
      <c r="Z13" s="13">
        <f t="shared" si="15"/>
        <v>79040.000000000015</v>
      </c>
      <c r="AA13" s="13">
        <v>74100</v>
      </c>
      <c r="AB13" s="13">
        <f t="shared" si="3"/>
        <v>53180.499999999993</v>
      </c>
      <c r="AC13" s="14">
        <f t="shared" si="4"/>
        <v>48750</v>
      </c>
    </row>
    <row r="14" spans="1:29" ht="15.95" customHeight="1" x14ac:dyDescent="0.25">
      <c r="A14" s="47">
        <v>12</v>
      </c>
      <c r="B14" s="48">
        <v>5655020</v>
      </c>
      <c r="C14" s="10" t="s">
        <v>13</v>
      </c>
      <c r="D14" s="49">
        <v>50</v>
      </c>
      <c r="E14" s="50">
        <v>910</v>
      </c>
      <c r="F14" s="51">
        <v>0.35</v>
      </c>
      <c r="G14" s="52">
        <f t="shared" si="5"/>
        <v>318.5</v>
      </c>
      <c r="H14" s="53">
        <f t="shared" si="6"/>
        <v>591.5</v>
      </c>
      <c r="I14" s="54">
        <v>1383.5</v>
      </c>
      <c r="J14" s="55">
        <v>0.53</v>
      </c>
      <c r="K14" s="56">
        <f t="shared" si="7"/>
        <v>733.255</v>
      </c>
      <c r="L14" s="57">
        <f t="shared" si="8"/>
        <v>650.245</v>
      </c>
      <c r="M14" s="58">
        <f t="shared" si="9"/>
        <v>9.0342870764096617</v>
      </c>
      <c r="N14" s="49">
        <v>1435</v>
      </c>
      <c r="O14" s="59">
        <v>0.36</v>
      </c>
      <c r="P14" s="11">
        <f t="shared" si="10"/>
        <v>516.6</v>
      </c>
      <c r="Q14" s="12">
        <f t="shared" si="11"/>
        <v>918.4</v>
      </c>
      <c r="R14" s="60">
        <f t="shared" si="12"/>
        <v>35.594512195121951</v>
      </c>
      <c r="S14" s="61">
        <f t="shared" si="13"/>
        <v>591.5</v>
      </c>
      <c r="T14" s="62" t="s">
        <v>229</v>
      </c>
      <c r="U14" s="63">
        <f t="shared" si="0"/>
        <v>268.15499999999997</v>
      </c>
      <c r="V14" s="11">
        <f t="shared" si="1"/>
        <v>13407.749999999998</v>
      </c>
      <c r="W14" s="63">
        <f t="shared" si="14"/>
        <v>326.89999999999998</v>
      </c>
      <c r="X14" s="63">
        <f t="shared" si="2"/>
        <v>16344.999999999998</v>
      </c>
      <c r="Y14" s="49"/>
      <c r="Z14" s="13">
        <f t="shared" si="15"/>
        <v>45920</v>
      </c>
      <c r="AA14" s="13">
        <v>43050</v>
      </c>
      <c r="AB14" s="13">
        <f t="shared" si="3"/>
        <v>32512.25</v>
      </c>
      <c r="AC14" s="14">
        <f t="shared" si="4"/>
        <v>29575</v>
      </c>
    </row>
    <row r="15" spans="1:29" ht="15.95" customHeight="1" x14ac:dyDescent="0.25">
      <c r="A15" s="47">
        <v>13</v>
      </c>
      <c r="B15" s="48" t="s">
        <v>180</v>
      </c>
      <c r="C15" s="10" t="s">
        <v>14</v>
      </c>
      <c r="D15" s="49">
        <v>100</v>
      </c>
      <c r="E15" s="50">
        <v>760</v>
      </c>
      <c r="F15" s="51">
        <v>0.35</v>
      </c>
      <c r="G15" s="52">
        <f t="shared" si="5"/>
        <v>266</v>
      </c>
      <c r="H15" s="53">
        <f t="shared" si="6"/>
        <v>494</v>
      </c>
      <c r="I15" s="54">
        <v>1137</v>
      </c>
      <c r="J15" s="55">
        <v>0.53</v>
      </c>
      <c r="K15" s="56">
        <f t="shared" si="7"/>
        <v>602.61</v>
      </c>
      <c r="L15" s="57">
        <f t="shared" si="8"/>
        <v>534.39</v>
      </c>
      <c r="M15" s="58">
        <f t="shared" si="9"/>
        <v>7.558150414491287</v>
      </c>
      <c r="N15" s="49">
        <v>1330</v>
      </c>
      <c r="O15" s="59">
        <v>0.36</v>
      </c>
      <c r="P15" s="11">
        <f t="shared" si="10"/>
        <v>478.79999999999995</v>
      </c>
      <c r="Q15" s="12">
        <f t="shared" si="11"/>
        <v>851.2</v>
      </c>
      <c r="R15" s="60">
        <f t="shared" si="12"/>
        <v>41.964285714285722</v>
      </c>
      <c r="S15" s="61">
        <f t="shared" si="13"/>
        <v>494</v>
      </c>
      <c r="T15" s="62" t="s">
        <v>229</v>
      </c>
      <c r="U15" s="63">
        <f t="shared" si="0"/>
        <v>316.81000000000006</v>
      </c>
      <c r="V15" s="11">
        <f t="shared" si="1"/>
        <v>31681.000000000007</v>
      </c>
      <c r="W15" s="63">
        <f t="shared" si="14"/>
        <v>357.20000000000005</v>
      </c>
      <c r="X15" s="63">
        <f t="shared" si="2"/>
        <v>35720.000000000007</v>
      </c>
      <c r="Y15" s="49"/>
      <c r="Z15" s="13">
        <f t="shared" si="15"/>
        <v>85120</v>
      </c>
      <c r="AA15" s="13">
        <v>79800</v>
      </c>
      <c r="AB15" s="13">
        <f t="shared" si="3"/>
        <v>53439</v>
      </c>
      <c r="AC15" s="14">
        <f t="shared" si="4"/>
        <v>49400</v>
      </c>
    </row>
    <row r="16" spans="1:29" ht="15.95" customHeight="1" x14ac:dyDescent="0.25">
      <c r="A16" s="47">
        <v>14</v>
      </c>
      <c r="B16" s="48">
        <v>5655021</v>
      </c>
      <c r="C16" s="10" t="s">
        <v>15</v>
      </c>
      <c r="D16" s="49">
        <v>50</v>
      </c>
      <c r="E16" s="50">
        <v>935</v>
      </c>
      <c r="F16" s="51">
        <v>0.35</v>
      </c>
      <c r="G16" s="52">
        <f t="shared" si="5"/>
        <v>327.25</v>
      </c>
      <c r="H16" s="53">
        <f t="shared" si="6"/>
        <v>607.75</v>
      </c>
      <c r="I16" s="54">
        <v>1388.5</v>
      </c>
      <c r="J16" s="55">
        <v>0.53</v>
      </c>
      <c r="K16" s="56">
        <f t="shared" si="7"/>
        <v>735.90500000000009</v>
      </c>
      <c r="L16" s="57">
        <f t="shared" si="8"/>
        <v>652.59499999999991</v>
      </c>
      <c r="M16" s="58">
        <f t="shared" si="9"/>
        <v>6.8717964434296794</v>
      </c>
      <c r="N16" s="49">
        <v>1440</v>
      </c>
      <c r="O16" s="59">
        <v>0.36</v>
      </c>
      <c r="P16" s="11">
        <f t="shared" si="10"/>
        <v>518.4</v>
      </c>
      <c r="Q16" s="12">
        <f t="shared" si="11"/>
        <v>921.6</v>
      </c>
      <c r="R16" s="60">
        <f t="shared" si="12"/>
        <v>34.054904513888893</v>
      </c>
      <c r="S16" s="61">
        <f t="shared" si="13"/>
        <v>607.75</v>
      </c>
      <c r="T16" s="62" t="s">
        <v>222</v>
      </c>
      <c r="U16" s="63">
        <f t="shared" si="0"/>
        <v>269.00500000000011</v>
      </c>
      <c r="V16" s="11">
        <f t="shared" si="1"/>
        <v>13450.250000000005</v>
      </c>
      <c r="W16" s="63">
        <f t="shared" si="14"/>
        <v>313.85000000000002</v>
      </c>
      <c r="X16" s="63">
        <f t="shared" si="2"/>
        <v>15692.500000000002</v>
      </c>
      <c r="Y16" s="49"/>
      <c r="Z16" s="13">
        <f t="shared" si="15"/>
        <v>46080</v>
      </c>
      <c r="AA16" s="13">
        <v>43200</v>
      </c>
      <c r="AB16" s="13">
        <f t="shared" si="3"/>
        <v>32629.749999999996</v>
      </c>
      <c r="AC16" s="14">
        <f t="shared" si="4"/>
        <v>30387.5</v>
      </c>
    </row>
    <row r="17" spans="1:29" ht="15.95" customHeight="1" x14ac:dyDescent="0.25">
      <c r="A17" s="47">
        <v>15</v>
      </c>
      <c r="B17" s="48" t="s">
        <v>181</v>
      </c>
      <c r="C17" s="10" t="s">
        <v>16</v>
      </c>
      <c r="D17" s="49">
        <v>100</v>
      </c>
      <c r="E17" s="50">
        <v>960</v>
      </c>
      <c r="F17" s="51">
        <v>0.35</v>
      </c>
      <c r="G17" s="52">
        <f t="shared" si="5"/>
        <v>336</v>
      </c>
      <c r="H17" s="53">
        <f t="shared" si="6"/>
        <v>624</v>
      </c>
      <c r="I17" s="54">
        <v>1499</v>
      </c>
      <c r="J17" s="55">
        <v>0.53</v>
      </c>
      <c r="K17" s="56">
        <f t="shared" si="7"/>
        <v>794.47</v>
      </c>
      <c r="L17" s="57">
        <f t="shared" si="8"/>
        <v>704.53</v>
      </c>
      <c r="M17" s="58">
        <f t="shared" si="9"/>
        <v>11.430315245624739</v>
      </c>
      <c r="N17" s="49">
        <v>1655</v>
      </c>
      <c r="O17" s="59">
        <v>0.36</v>
      </c>
      <c r="P17" s="11">
        <f t="shared" si="10"/>
        <v>595.79999999999995</v>
      </c>
      <c r="Q17" s="12">
        <f t="shared" si="11"/>
        <v>1059.2</v>
      </c>
      <c r="R17" s="60">
        <f t="shared" si="12"/>
        <v>41.087613293051362</v>
      </c>
      <c r="S17" s="61">
        <f t="shared" si="13"/>
        <v>624</v>
      </c>
      <c r="T17" s="62" t="s">
        <v>229</v>
      </c>
      <c r="U17" s="63">
        <f t="shared" si="0"/>
        <v>354.67000000000007</v>
      </c>
      <c r="V17" s="11">
        <f t="shared" si="1"/>
        <v>35467.000000000007</v>
      </c>
      <c r="W17" s="63">
        <f t="shared" si="14"/>
        <v>435.20000000000005</v>
      </c>
      <c r="X17" s="63">
        <f t="shared" si="2"/>
        <v>43520.000000000007</v>
      </c>
      <c r="Y17" s="49"/>
      <c r="Z17" s="13">
        <f t="shared" si="15"/>
        <v>105920</v>
      </c>
      <c r="AA17" s="13">
        <v>99300</v>
      </c>
      <c r="AB17" s="13">
        <f t="shared" si="3"/>
        <v>70453</v>
      </c>
      <c r="AC17" s="14">
        <f t="shared" si="4"/>
        <v>62400</v>
      </c>
    </row>
    <row r="18" spans="1:29" ht="15.95" customHeight="1" x14ac:dyDescent="0.25">
      <c r="A18" s="47">
        <v>16</v>
      </c>
      <c r="B18" s="48">
        <v>5655024</v>
      </c>
      <c r="C18" s="10" t="s">
        <v>17</v>
      </c>
      <c r="D18" s="49">
        <v>50</v>
      </c>
      <c r="E18" s="50">
        <v>1310</v>
      </c>
      <c r="F18" s="51">
        <v>0.35</v>
      </c>
      <c r="G18" s="52">
        <f t="shared" si="5"/>
        <v>458.49999999999994</v>
      </c>
      <c r="H18" s="53">
        <f t="shared" si="6"/>
        <v>851.5</v>
      </c>
      <c r="I18" s="54">
        <v>1830</v>
      </c>
      <c r="J18" s="55">
        <v>0.53</v>
      </c>
      <c r="K18" s="56">
        <f t="shared" si="7"/>
        <v>969.90000000000009</v>
      </c>
      <c r="L18" s="57">
        <f t="shared" si="8"/>
        <v>860.09999999999991</v>
      </c>
      <c r="M18" s="58">
        <f t="shared" si="9"/>
        <v>0.99988373444947209</v>
      </c>
      <c r="N18" s="49">
        <v>1895</v>
      </c>
      <c r="O18" s="59">
        <v>0.36</v>
      </c>
      <c r="P18" s="11">
        <f t="shared" si="10"/>
        <v>682.19999999999993</v>
      </c>
      <c r="Q18" s="12">
        <f t="shared" si="11"/>
        <v>1212.8000000000002</v>
      </c>
      <c r="R18" s="60">
        <f t="shared" si="12"/>
        <v>29.790567282321906</v>
      </c>
      <c r="S18" s="61">
        <f t="shared" si="13"/>
        <v>851.5</v>
      </c>
      <c r="T18" s="62" t="s">
        <v>222</v>
      </c>
      <c r="U18" s="63">
        <f t="shared" si="0"/>
        <v>352.70000000000027</v>
      </c>
      <c r="V18" s="11">
        <f t="shared" si="1"/>
        <v>17635.000000000015</v>
      </c>
      <c r="W18" s="63">
        <f t="shared" si="14"/>
        <v>361.30000000000018</v>
      </c>
      <c r="X18" s="63">
        <f t="shared" si="2"/>
        <v>18065.000000000007</v>
      </c>
      <c r="Y18" s="49"/>
      <c r="Z18" s="13">
        <f t="shared" si="15"/>
        <v>60640.000000000007</v>
      </c>
      <c r="AA18" s="13">
        <v>56850</v>
      </c>
      <c r="AB18" s="13">
        <f t="shared" si="3"/>
        <v>43004.999999999993</v>
      </c>
      <c r="AC18" s="14">
        <f t="shared" si="4"/>
        <v>42575</v>
      </c>
    </row>
    <row r="19" spans="1:29" ht="15.95" customHeight="1" x14ac:dyDescent="0.25">
      <c r="A19" s="47">
        <v>17</v>
      </c>
      <c r="B19" s="48" t="s">
        <v>182</v>
      </c>
      <c r="C19" s="10" t="s">
        <v>18</v>
      </c>
      <c r="D19" s="49">
        <v>200</v>
      </c>
      <c r="E19" s="50">
        <v>1410</v>
      </c>
      <c r="F19" s="51">
        <v>0.35</v>
      </c>
      <c r="G19" s="52">
        <f t="shared" si="5"/>
        <v>493.49999999999994</v>
      </c>
      <c r="H19" s="53">
        <f t="shared" si="6"/>
        <v>916.5</v>
      </c>
      <c r="I19" s="54">
        <v>2182</v>
      </c>
      <c r="J19" s="55">
        <v>0.53</v>
      </c>
      <c r="K19" s="56">
        <f t="shared" si="7"/>
        <v>1156.46</v>
      </c>
      <c r="L19" s="57">
        <f t="shared" si="8"/>
        <v>1025.54</v>
      </c>
      <c r="M19" s="58">
        <f t="shared" si="9"/>
        <v>10.632447296058659</v>
      </c>
      <c r="N19" s="49">
        <v>2400</v>
      </c>
      <c r="O19" s="59">
        <v>0.36</v>
      </c>
      <c r="P19" s="11">
        <f t="shared" si="10"/>
        <v>864</v>
      </c>
      <c r="Q19" s="12">
        <f t="shared" si="11"/>
        <v>1536</v>
      </c>
      <c r="R19" s="60">
        <f t="shared" si="12"/>
        <v>40.33203125</v>
      </c>
      <c r="S19" s="61">
        <f t="shared" si="13"/>
        <v>916.5</v>
      </c>
      <c r="T19" s="62" t="s">
        <v>229</v>
      </c>
      <c r="U19" s="63">
        <f t="shared" si="0"/>
        <v>510.46000000000004</v>
      </c>
      <c r="V19" s="11">
        <f t="shared" si="1"/>
        <v>102092</v>
      </c>
      <c r="W19" s="63">
        <f t="shared" si="14"/>
        <v>619.5</v>
      </c>
      <c r="X19" s="63">
        <f t="shared" si="2"/>
        <v>123900</v>
      </c>
      <c r="Y19" s="49"/>
      <c r="Z19" s="13">
        <f t="shared" si="15"/>
        <v>307200</v>
      </c>
      <c r="AA19" s="13">
        <v>288000</v>
      </c>
      <c r="AB19" s="13">
        <f t="shared" si="3"/>
        <v>205108</v>
      </c>
      <c r="AC19" s="14">
        <f t="shared" si="4"/>
        <v>183300</v>
      </c>
    </row>
    <row r="20" spans="1:29" ht="15.95" customHeight="1" x14ac:dyDescent="0.25">
      <c r="A20" s="47">
        <v>18</v>
      </c>
      <c r="B20" s="48">
        <v>5655029</v>
      </c>
      <c r="C20" s="10" t="s">
        <v>19</v>
      </c>
      <c r="D20" s="49">
        <v>100</v>
      </c>
      <c r="E20" s="50">
        <v>1790</v>
      </c>
      <c r="F20" s="51">
        <v>0.35</v>
      </c>
      <c r="G20" s="52">
        <f t="shared" si="5"/>
        <v>626.5</v>
      </c>
      <c r="H20" s="53">
        <f t="shared" si="6"/>
        <v>1163.5</v>
      </c>
      <c r="I20" s="54">
        <v>2667</v>
      </c>
      <c r="J20" s="55">
        <v>0.53</v>
      </c>
      <c r="K20" s="56">
        <f t="shared" si="7"/>
        <v>1413.51</v>
      </c>
      <c r="L20" s="57">
        <f t="shared" si="8"/>
        <v>1253.49</v>
      </c>
      <c r="M20" s="58">
        <f t="shared" si="9"/>
        <v>7.1791557970147348</v>
      </c>
      <c r="N20" s="49">
        <v>2765</v>
      </c>
      <c r="O20" s="59">
        <v>0.36</v>
      </c>
      <c r="P20" s="11">
        <f t="shared" si="10"/>
        <v>995.4</v>
      </c>
      <c r="Q20" s="12">
        <f t="shared" si="11"/>
        <v>1769.6</v>
      </c>
      <c r="R20" s="60">
        <f t="shared" si="12"/>
        <v>34.250678119349004</v>
      </c>
      <c r="S20" s="61">
        <f t="shared" si="13"/>
        <v>1163.5</v>
      </c>
      <c r="T20" s="62" t="s">
        <v>229</v>
      </c>
      <c r="U20" s="63">
        <f t="shared" si="0"/>
        <v>516.1099999999999</v>
      </c>
      <c r="V20" s="11">
        <f t="shared" si="1"/>
        <v>51610.999999999993</v>
      </c>
      <c r="W20" s="63">
        <f t="shared" si="14"/>
        <v>606.09999999999991</v>
      </c>
      <c r="X20" s="63">
        <f t="shared" si="2"/>
        <v>60609.999999999993</v>
      </c>
      <c r="Y20" s="49"/>
      <c r="Z20" s="13">
        <f t="shared" si="15"/>
        <v>176960</v>
      </c>
      <c r="AA20" s="13">
        <v>165900</v>
      </c>
      <c r="AB20" s="13">
        <f t="shared" si="3"/>
        <v>125349</v>
      </c>
      <c r="AC20" s="14">
        <f t="shared" si="4"/>
        <v>116350</v>
      </c>
    </row>
    <row r="21" spans="1:29" ht="15.95" customHeight="1" x14ac:dyDescent="0.25">
      <c r="A21" s="47">
        <v>19</v>
      </c>
      <c r="B21" s="48">
        <v>7101001</v>
      </c>
      <c r="C21" s="10" t="s">
        <v>36</v>
      </c>
      <c r="D21" s="49">
        <v>100</v>
      </c>
      <c r="E21" s="50">
        <v>290</v>
      </c>
      <c r="F21" s="51">
        <v>0.35</v>
      </c>
      <c r="G21" s="52">
        <f t="shared" si="5"/>
        <v>101.5</v>
      </c>
      <c r="H21" s="53">
        <f t="shared" si="6"/>
        <v>188.5</v>
      </c>
      <c r="I21" s="54">
        <v>399.1</v>
      </c>
      <c r="J21" s="55">
        <v>0.53</v>
      </c>
      <c r="K21" s="56">
        <f t="shared" si="7"/>
        <v>211.52300000000002</v>
      </c>
      <c r="L21" s="57">
        <f t="shared" si="8"/>
        <v>187.577</v>
      </c>
      <c r="M21" s="58">
        <f t="shared" si="9"/>
        <v>-0.49206459214082848</v>
      </c>
      <c r="N21" s="49">
        <v>415</v>
      </c>
      <c r="O21" s="59">
        <v>0.36</v>
      </c>
      <c r="P21" s="11">
        <f t="shared" si="10"/>
        <v>149.4</v>
      </c>
      <c r="Q21" s="12">
        <f t="shared" si="11"/>
        <v>265.60000000000002</v>
      </c>
      <c r="R21" s="60">
        <f t="shared" si="12"/>
        <v>29.028614457831331</v>
      </c>
      <c r="S21" s="61">
        <f t="shared" si="13"/>
        <v>187.577</v>
      </c>
      <c r="T21" s="62" t="s">
        <v>222</v>
      </c>
      <c r="U21" s="63">
        <f t="shared" si="0"/>
        <v>78.023000000000025</v>
      </c>
      <c r="V21" s="11">
        <f t="shared" si="1"/>
        <v>7802.3000000000029</v>
      </c>
      <c r="W21" s="63">
        <f t="shared" si="14"/>
        <v>77.100000000000023</v>
      </c>
      <c r="X21" s="63">
        <f t="shared" si="2"/>
        <v>7710.0000000000018</v>
      </c>
      <c r="Y21" s="49"/>
      <c r="Z21" s="13">
        <f t="shared" si="15"/>
        <v>26560.000000000004</v>
      </c>
      <c r="AA21" s="13">
        <v>24900</v>
      </c>
      <c r="AB21" s="13">
        <f t="shared" si="3"/>
        <v>18757.7</v>
      </c>
      <c r="AC21" s="14">
        <f t="shared" si="4"/>
        <v>18850</v>
      </c>
    </row>
    <row r="22" spans="1:29" ht="15.95" customHeight="1" x14ac:dyDescent="0.25">
      <c r="A22" s="47">
        <v>20</v>
      </c>
      <c r="B22" s="48">
        <v>7101002</v>
      </c>
      <c r="C22" s="10" t="s">
        <v>35</v>
      </c>
      <c r="D22" s="49">
        <v>100</v>
      </c>
      <c r="E22" s="50">
        <v>300</v>
      </c>
      <c r="F22" s="51">
        <v>0.35</v>
      </c>
      <c r="G22" s="52">
        <f t="shared" si="5"/>
        <v>105</v>
      </c>
      <c r="H22" s="53">
        <f t="shared" si="6"/>
        <v>195</v>
      </c>
      <c r="I22" s="54">
        <v>448.2</v>
      </c>
      <c r="J22" s="55">
        <v>0.53</v>
      </c>
      <c r="K22" s="56">
        <f t="shared" si="7"/>
        <v>237.54599999999999</v>
      </c>
      <c r="L22" s="57">
        <f t="shared" si="8"/>
        <v>210.654</v>
      </c>
      <c r="M22" s="58">
        <f t="shared" si="9"/>
        <v>7.4311430117633641</v>
      </c>
      <c r="N22" s="49">
        <v>465</v>
      </c>
      <c r="O22" s="59">
        <v>0.36</v>
      </c>
      <c r="P22" s="11">
        <f t="shared" si="10"/>
        <v>167.4</v>
      </c>
      <c r="Q22" s="12">
        <f t="shared" si="11"/>
        <v>297.60000000000002</v>
      </c>
      <c r="R22" s="60">
        <f t="shared" si="12"/>
        <v>34.475806451612904</v>
      </c>
      <c r="S22" s="61">
        <f t="shared" si="13"/>
        <v>195</v>
      </c>
      <c r="T22" s="62" t="s">
        <v>229</v>
      </c>
      <c r="U22" s="63">
        <f t="shared" si="0"/>
        <v>86.946000000000026</v>
      </c>
      <c r="V22" s="11">
        <f t="shared" si="1"/>
        <v>8694.6000000000022</v>
      </c>
      <c r="W22" s="63">
        <f t="shared" si="14"/>
        <v>102.60000000000002</v>
      </c>
      <c r="X22" s="63">
        <f t="shared" si="2"/>
        <v>10260.000000000002</v>
      </c>
      <c r="Y22" s="49"/>
      <c r="Z22" s="13">
        <f t="shared" si="15"/>
        <v>29760.000000000004</v>
      </c>
      <c r="AA22" s="13">
        <v>27900</v>
      </c>
      <c r="AB22" s="13">
        <f t="shared" si="3"/>
        <v>21065.4</v>
      </c>
      <c r="AC22" s="14">
        <f t="shared" si="4"/>
        <v>19500</v>
      </c>
    </row>
    <row r="23" spans="1:29" ht="15.95" customHeight="1" x14ac:dyDescent="0.25">
      <c r="A23" s="47">
        <v>21</v>
      </c>
      <c r="B23" s="48">
        <v>7101003</v>
      </c>
      <c r="C23" s="10" t="s">
        <v>37</v>
      </c>
      <c r="D23" s="49">
        <v>100</v>
      </c>
      <c r="E23" s="50">
        <v>350</v>
      </c>
      <c r="F23" s="51">
        <v>0.35</v>
      </c>
      <c r="G23" s="52">
        <f t="shared" si="5"/>
        <v>122.49999999999999</v>
      </c>
      <c r="H23" s="53">
        <f t="shared" si="6"/>
        <v>227.5</v>
      </c>
      <c r="I23" s="54">
        <v>473.5</v>
      </c>
      <c r="J23" s="55">
        <v>0.53</v>
      </c>
      <c r="K23" s="56">
        <f t="shared" si="7"/>
        <v>250.95500000000001</v>
      </c>
      <c r="L23" s="57">
        <f t="shared" si="8"/>
        <v>222.54499999999999</v>
      </c>
      <c r="M23" s="58">
        <f t="shared" si="9"/>
        <v>-2.2265159855310221</v>
      </c>
      <c r="N23" s="49">
        <v>490</v>
      </c>
      <c r="O23" s="59">
        <v>0.36</v>
      </c>
      <c r="P23" s="11">
        <f t="shared" si="10"/>
        <v>176.4</v>
      </c>
      <c r="Q23" s="12">
        <f t="shared" si="11"/>
        <v>313.60000000000002</v>
      </c>
      <c r="R23" s="60">
        <f t="shared" si="12"/>
        <v>27.455357142857146</v>
      </c>
      <c r="S23" s="61">
        <f t="shared" si="13"/>
        <v>222.54499999999999</v>
      </c>
      <c r="T23" s="62" t="s">
        <v>222</v>
      </c>
      <c r="U23" s="63">
        <f t="shared" si="0"/>
        <v>91.055000000000035</v>
      </c>
      <c r="V23" s="11">
        <f t="shared" si="1"/>
        <v>9105.5000000000036</v>
      </c>
      <c r="W23" s="63">
        <f t="shared" si="14"/>
        <v>86.100000000000023</v>
      </c>
      <c r="X23" s="63">
        <f t="shared" si="2"/>
        <v>8610.0000000000018</v>
      </c>
      <c r="Y23" s="49"/>
      <c r="Z23" s="13">
        <f t="shared" si="15"/>
        <v>31360.000000000004</v>
      </c>
      <c r="AA23" s="13">
        <v>29400</v>
      </c>
      <c r="AB23" s="13">
        <f t="shared" si="3"/>
        <v>22254.5</v>
      </c>
      <c r="AC23" s="14">
        <f t="shared" si="4"/>
        <v>22750</v>
      </c>
    </row>
    <row r="24" spans="1:29" ht="15.95" customHeight="1" x14ac:dyDescent="0.25">
      <c r="A24" s="47">
        <v>22</v>
      </c>
      <c r="B24" s="48">
        <v>7101004</v>
      </c>
      <c r="C24" s="10" t="s">
        <v>38</v>
      </c>
      <c r="D24" s="49">
        <v>100</v>
      </c>
      <c r="E24" s="50">
        <v>350</v>
      </c>
      <c r="F24" s="51">
        <v>0.35</v>
      </c>
      <c r="G24" s="52">
        <f t="shared" si="5"/>
        <v>122.49999999999999</v>
      </c>
      <c r="H24" s="53">
        <f t="shared" si="6"/>
        <v>227.5</v>
      </c>
      <c r="I24" s="54">
        <v>473.5</v>
      </c>
      <c r="J24" s="55">
        <v>0.53</v>
      </c>
      <c r="K24" s="56">
        <f t="shared" si="7"/>
        <v>250.95500000000001</v>
      </c>
      <c r="L24" s="57">
        <f t="shared" si="8"/>
        <v>222.54499999999999</v>
      </c>
      <c r="M24" s="58">
        <f t="shared" si="9"/>
        <v>-2.2265159855310221</v>
      </c>
      <c r="N24" s="49">
        <v>490</v>
      </c>
      <c r="O24" s="59">
        <v>0.36</v>
      </c>
      <c r="P24" s="11">
        <f t="shared" si="10"/>
        <v>176.4</v>
      </c>
      <c r="Q24" s="12">
        <f t="shared" si="11"/>
        <v>313.60000000000002</v>
      </c>
      <c r="R24" s="60">
        <f t="shared" si="12"/>
        <v>27.455357142857146</v>
      </c>
      <c r="S24" s="61">
        <f t="shared" si="13"/>
        <v>222.54499999999999</v>
      </c>
      <c r="T24" s="62" t="s">
        <v>222</v>
      </c>
      <c r="U24" s="63">
        <f t="shared" si="0"/>
        <v>91.055000000000035</v>
      </c>
      <c r="V24" s="11">
        <f t="shared" si="1"/>
        <v>9105.5000000000036</v>
      </c>
      <c r="W24" s="63">
        <f t="shared" si="14"/>
        <v>86.100000000000023</v>
      </c>
      <c r="X24" s="63">
        <f t="shared" si="2"/>
        <v>8610.0000000000018</v>
      </c>
      <c r="Y24" s="49"/>
      <c r="Z24" s="13">
        <f t="shared" si="15"/>
        <v>31360.000000000004</v>
      </c>
      <c r="AA24" s="13">
        <v>29400</v>
      </c>
      <c r="AB24" s="13">
        <f t="shared" si="3"/>
        <v>22254.5</v>
      </c>
      <c r="AC24" s="14">
        <f t="shared" si="4"/>
        <v>22750</v>
      </c>
    </row>
    <row r="25" spans="1:29" ht="15.95" customHeight="1" x14ac:dyDescent="0.25">
      <c r="A25" s="47">
        <v>23</v>
      </c>
      <c r="B25" s="48">
        <v>7101005</v>
      </c>
      <c r="C25" s="10" t="s">
        <v>39</v>
      </c>
      <c r="D25" s="49">
        <v>100</v>
      </c>
      <c r="E25" s="50">
        <v>340</v>
      </c>
      <c r="F25" s="51">
        <v>0.35</v>
      </c>
      <c r="G25" s="52">
        <f t="shared" si="5"/>
        <v>118.99999999999999</v>
      </c>
      <c r="H25" s="53">
        <f t="shared" si="6"/>
        <v>221</v>
      </c>
      <c r="I25" s="54">
        <v>473.3</v>
      </c>
      <c r="J25" s="55">
        <v>0.53</v>
      </c>
      <c r="K25" s="56">
        <f t="shared" si="7"/>
        <v>250.84900000000002</v>
      </c>
      <c r="L25" s="57">
        <f t="shared" si="8"/>
        <v>222.45099999999999</v>
      </c>
      <c r="M25" s="58">
        <f t="shared" si="9"/>
        <v>0.65227847930555194</v>
      </c>
      <c r="N25" s="49">
        <v>495</v>
      </c>
      <c r="O25" s="59">
        <v>0.36</v>
      </c>
      <c r="P25" s="11">
        <f t="shared" si="10"/>
        <v>178.2</v>
      </c>
      <c r="Q25" s="12">
        <f t="shared" si="11"/>
        <v>316.8</v>
      </c>
      <c r="R25" s="60">
        <f t="shared" si="12"/>
        <v>30.239898989898993</v>
      </c>
      <c r="S25" s="61">
        <f t="shared" si="13"/>
        <v>221</v>
      </c>
      <c r="T25" s="62" t="s">
        <v>222</v>
      </c>
      <c r="U25" s="63">
        <f t="shared" si="0"/>
        <v>94.349000000000018</v>
      </c>
      <c r="V25" s="11">
        <f t="shared" si="1"/>
        <v>9434.9000000000015</v>
      </c>
      <c r="W25" s="63">
        <f t="shared" si="14"/>
        <v>95.800000000000011</v>
      </c>
      <c r="X25" s="63">
        <f t="shared" si="2"/>
        <v>9580.0000000000018</v>
      </c>
      <c r="Y25" s="49"/>
      <c r="Z25" s="13">
        <f t="shared" si="15"/>
        <v>31680</v>
      </c>
      <c r="AA25" s="13">
        <v>29700</v>
      </c>
      <c r="AB25" s="13">
        <f t="shared" si="3"/>
        <v>22245.1</v>
      </c>
      <c r="AC25" s="14">
        <f t="shared" si="4"/>
        <v>22100</v>
      </c>
    </row>
    <row r="26" spans="1:29" ht="15.95" customHeight="1" x14ac:dyDescent="0.25">
      <c r="A26" s="47">
        <v>24</v>
      </c>
      <c r="B26" s="48">
        <v>7101706</v>
      </c>
      <c r="C26" s="10" t="s">
        <v>40</v>
      </c>
      <c r="D26" s="49">
        <v>100</v>
      </c>
      <c r="E26" s="50">
        <v>390</v>
      </c>
      <c r="F26" s="51">
        <v>0.35</v>
      </c>
      <c r="G26" s="52">
        <f t="shared" si="5"/>
        <v>136.5</v>
      </c>
      <c r="H26" s="53">
        <f t="shared" si="6"/>
        <v>253.5</v>
      </c>
      <c r="I26" s="54">
        <v>520.20000000000005</v>
      </c>
      <c r="J26" s="55">
        <v>0.53</v>
      </c>
      <c r="K26" s="56">
        <f t="shared" si="7"/>
        <v>275.70600000000002</v>
      </c>
      <c r="L26" s="57">
        <f t="shared" si="8"/>
        <v>244.49400000000003</v>
      </c>
      <c r="M26" s="58">
        <f t="shared" si="9"/>
        <v>-3.6835259760975609</v>
      </c>
      <c r="N26" s="49">
        <v>540</v>
      </c>
      <c r="O26" s="59">
        <v>0.36</v>
      </c>
      <c r="P26" s="11">
        <f t="shared" si="10"/>
        <v>194.4</v>
      </c>
      <c r="Q26" s="12">
        <f t="shared" si="11"/>
        <v>345.6</v>
      </c>
      <c r="R26" s="60">
        <f t="shared" si="12"/>
        <v>26.649305555555561</v>
      </c>
      <c r="S26" s="61">
        <f t="shared" si="13"/>
        <v>244.49400000000003</v>
      </c>
      <c r="T26" s="62" t="s">
        <v>222</v>
      </c>
      <c r="U26" s="63">
        <f t="shared" si="0"/>
        <v>101.10599999999999</v>
      </c>
      <c r="V26" s="11">
        <f t="shared" si="1"/>
        <v>10110.599999999999</v>
      </c>
      <c r="W26" s="63">
        <f t="shared" si="14"/>
        <v>92.100000000000023</v>
      </c>
      <c r="X26" s="63">
        <f t="shared" si="2"/>
        <v>9210.0000000000018</v>
      </c>
      <c r="Y26" s="49"/>
      <c r="Z26" s="13">
        <f t="shared" si="15"/>
        <v>34560</v>
      </c>
      <c r="AA26" s="13">
        <v>32400</v>
      </c>
      <c r="AB26" s="13">
        <f t="shared" si="3"/>
        <v>24449.4</v>
      </c>
      <c r="AC26" s="14">
        <f t="shared" si="4"/>
        <v>25350</v>
      </c>
    </row>
    <row r="27" spans="1:29" ht="15.95" customHeight="1" x14ac:dyDescent="0.25">
      <c r="A27" s="47">
        <v>25</v>
      </c>
      <c r="B27" s="48">
        <v>7101707</v>
      </c>
      <c r="C27" s="10" t="s">
        <v>41</v>
      </c>
      <c r="D27" s="49">
        <v>100</v>
      </c>
      <c r="E27" s="50">
        <v>390</v>
      </c>
      <c r="F27" s="51">
        <v>0.35</v>
      </c>
      <c r="G27" s="52">
        <f t="shared" si="5"/>
        <v>136.5</v>
      </c>
      <c r="H27" s="53">
        <f t="shared" si="6"/>
        <v>253.5</v>
      </c>
      <c r="I27" s="54">
        <v>520.20000000000005</v>
      </c>
      <c r="J27" s="55">
        <v>0.53</v>
      </c>
      <c r="K27" s="56">
        <f t="shared" si="7"/>
        <v>275.70600000000002</v>
      </c>
      <c r="L27" s="57">
        <f t="shared" si="8"/>
        <v>244.49400000000003</v>
      </c>
      <c r="M27" s="58">
        <f t="shared" si="9"/>
        <v>-3.6835259760975609</v>
      </c>
      <c r="N27" s="49">
        <v>540</v>
      </c>
      <c r="O27" s="59">
        <v>0.36</v>
      </c>
      <c r="P27" s="11">
        <f t="shared" si="10"/>
        <v>194.4</v>
      </c>
      <c r="Q27" s="12">
        <f t="shared" si="11"/>
        <v>345.6</v>
      </c>
      <c r="R27" s="60">
        <f t="shared" si="12"/>
        <v>26.649305555555561</v>
      </c>
      <c r="S27" s="61">
        <f t="shared" si="13"/>
        <v>244.49400000000003</v>
      </c>
      <c r="T27" s="62" t="s">
        <v>222</v>
      </c>
      <c r="U27" s="63">
        <f t="shared" si="0"/>
        <v>101.10599999999999</v>
      </c>
      <c r="V27" s="11">
        <f t="shared" si="1"/>
        <v>10110.599999999999</v>
      </c>
      <c r="W27" s="63">
        <f t="shared" si="14"/>
        <v>92.100000000000023</v>
      </c>
      <c r="X27" s="63">
        <f t="shared" si="2"/>
        <v>9210.0000000000018</v>
      </c>
      <c r="Y27" s="49"/>
      <c r="Z27" s="13">
        <f t="shared" si="15"/>
        <v>34560</v>
      </c>
      <c r="AA27" s="13">
        <v>32400</v>
      </c>
      <c r="AB27" s="13">
        <f t="shared" si="3"/>
        <v>24449.4</v>
      </c>
      <c r="AC27" s="14">
        <f t="shared" si="4"/>
        <v>25350</v>
      </c>
    </row>
    <row r="28" spans="1:29" ht="15.95" customHeight="1" x14ac:dyDescent="0.25">
      <c r="A28" s="47">
        <v>26</v>
      </c>
      <c r="B28" s="48">
        <v>7101708</v>
      </c>
      <c r="C28" s="10" t="s">
        <v>42</v>
      </c>
      <c r="D28" s="49">
        <v>100</v>
      </c>
      <c r="E28" s="50">
        <v>390</v>
      </c>
      <c r="F28" s="51">
        <v>0.35</v>
      </c>
      <c r="G28" s="52">
        <f t="shared" si="5"/>
        <v>136.5</v>
      </c>
      <c r="H28" s="53">
        <f t="shared" si="6"/>
        <v>253.5</v>
      </c>
      <c r="I28" s="54">
        <v>520.20000000000005</v>
      </c>
      <c r="J28" s="55">
        <v>0.53</v>
      </c>
      <c r="K28" s="56">
        <f t="shared" si="7"/>
        <v>275.70600000000002</v>
      </c>
      <c r="L28" s="57">
        <f t="shared" si="8"/>
        <v>244.49400000000003</v>
      </c>
      <c r="M28" s="58">
        <f t="shared" si="9"/>
        <v>-3.6835259760975609</v>
      </c>
      <c r="N28" s="49">
        <v>540</v>
      </c>
      <c r="O28" s="59">
        <v>0.36</v>
      </c>
      <c r="P28" s="11">
        <f t="shared" si="10"/>
        <v>194.4</v>
      </c>
      <c r="Q28" s="12">
        <f t="shared" si="11"/>
        <v>345.6</v>
      </c>
      <c r="R28" s="60">
        <f t="shared" si="12"/>
        <v>26.649305555555561</v>
      </c>
      <c r="S28" s="61">
        <f t="shared" si="13"/>
        <v>244.49400000000003</v>
      </c>
      <c r="T28" s="62" t="s">
        <v>222</v>
      </c>
      <c r="U28" s="63">
        <f t="shared" si="0"/>
        <v>101.10599999999999</v>
      </c>
      <c r="V28" s="11">
        <f t="shared" si="1"/>
        <v>10110.599999999999</v>
      </c>
      <c r="W28" s="63">
        <f t="shared" si="14"/>
        <v>92.100000000000023</v>
      </c>
      <c r="X28" s="63">
        <f t="shared" si="2"/>
        <v>9210.0000000000018</v>
      </c>
      <c r="Y28" s="49"/>
      <c r="Z28" s="13">
        <f t="shared" si="15"/>
        <v>34560</v>
      </c>
      <c r="AA28" s="13">
        <v>32400</v>
      </c>
      <c r="AB28" s="13">
        <f t="shared" si="3"/>
        <v>24449.4</v>
      </c>
      <c r="AC28" s="14">
        <f t="shared" si="4"/>
        <v>25350</v>
      </c>
    </row>
    <row r="29" spans="1:29" ht="15.95" customHeight="1" x14ac:dyDescent="0.25">
      <c r="A29" s="47">
        <v>27</v>
      </c>
      <c r="B29" s="48">
        <v>7101709</v>
      </c>
      <c r="C29" s="10" t="s">
        <v>43</v>
      </c>
      <c r="D29" s="49">
        <v>100</v>
      </c>
      <c r="E29" s="50">
        <v>390</v>
      </c>
      <c r="F29" s="51">
        <v>0.35</v>
      </c>
      <c r="G29" s="52">
        <f t="shared" si="5"/>
        <v>136.5</v>
      </c>
      <c r="H29" s="53">
        <f t="shared" si="6"/>
        <v>253.5</v>
      </c>
      <c r="I29" s="54">
        <v>520.20000000000005</v>
      </c>
      <c r="J29" s="55">
        <v>0.53</v>
      </c>
      <c r="K29" s="56">
        <f t="shared" si="7"/>
        <v>275.70600000000002</v>
      </c>
      <c r="L29" s="57">
        <f t="shared" si="8"/>
        <v>244.49400000000003</v>
      </c>
      <c r="M29" s="58">
        <f t="shared" si="9"/>
        <v>-3.6835259760975609</v>
      </c>
      <c r="N29" s="49">
        <v>540</v>
      </c>
      <c r="O29" s="59">
        <v>0.36</v>
      </c>
      <c r="P29" s="11">
        <f t="shared" si="10"/>
        <v>194.4</v>
      </c>
      <c r="Q29" s="12">
        <f t="shared" si="11"/>
        <v>345.6</v>
      </c>
      <c r="R29" s="60">
        <f t="shared" si="12"/>
        <v>26.649305555555561</v>
      </c>
      <c r="S29" s="61">
        <f t="shared" si="13"/>
        <v>244.49400000000003</v>
      </c>
      <c r="T29" s="62" t="s">
        <v>222</v>
      </c>
      <c r="U29" s="63">
        <f t="shared" si="0"/>
        <v>101.10599999999999</v>
      </c>
      <c r="V29" s="11">
        <f t="shared" si="1"/>
        <v>10110.599999999999</v>
      </c>
      <c r="W29" s="63">
        <f t="shared" si="14"/>
        <v>92.100000000000023</v>
      </c>
      <c r="X29" s="63">
        <f t="shared" si="2"/>
        <v>9210.0000000000018</v>
      </c>
      <c r="Y29" s="49"/>
      <c r="Z29" s="13">
        <f t="shared" si="15"/>
        <v>34560</v>
      </c>
      <c r="AA29" s="13">
        <v>32400</v>
      </c>
      <c r="AB29" s="13">
        <f t="shared" si="3"/>
        <v>24449.4</v>
      </c>
      <c r="AC29" s="14">
        <f t="shared" si="4"/>
        <v>25350</v>
      </c>
    </row>
    <row r="30" spans="1:29" ht="15.95" customHeight="1" x14ac:dyDescent="0.25">
      <c r="A30" s="47">
        <v>28</v>
      </c>
      <c r="B30" s="48">
        <v>7101006</v>
      </c>
      <c r="C30" s="10" t="s">
        <v>44</v>
      </c>
      <c r="D30" s="49">
        <v>100</v>
      </c>
      <c r="E30" s="50">
        <v>390</v>
      </c>
      <c r="F30" s="51">
        <v>0.35</v>
      </c>
      <c r="G30" s="52">
        <f t="shared" si="5"/>
        <v>136.5</v>
      </c>
      <c r="H30" s="53">
        <f t="shared" si="6"/>
        <v>253.5</v>
      </c>
      <c r="I30" s="54">
        <v>536.4</v>
      </c>
      <c r="J30" s="55">
        <v>0.53</v>
      </c>
      <c r="K30" s="56">
        <f t="shared" si="7"/>
        <v>284.29200000000003</v>
      </c>
      <c r="L30" s="57">
        <f t="shared" si="8"/>
        <v>252.10799999999995</v>
      </c>
      <c r="M30" s="58">
        <f t="shared" si="9"/>
        <v>-0.55214431910135853</v>
      </c>
      <c r="N30" s="49">
        <v>560</v>
      </c>
      <c r="O30" s="59">
        <v>0.36</v>
      </c>
      <c r="P30" s="11">
        <f t="shared" si="10"/>
        <v>201.6</v>
      </c>
      <c r="Q30" s="12">
        <f t="shared" si="11"/>
        <v>358.4</v>
      </c>
      <c r="R30" s="60">
        <f t="shared" si="12"/>
        <v>29.268973214285712</v>
      </c>
      <c r="S30" s="61">
        <f t="shared" si="13"/>
        <v>252.10799999999995</v>
      </c>
      <c r="T30" s="62" t="s">
        <v>222</v>
      </c>
      <c r="U30" s="63">
        <f t="shared" si="0"/>
        <v>106.29200000000003</v>
      </c>
      <c r="V30" s="11">
        <f t="shared" si="1"/>
        <v>10629.200000000003</v>
      </c>
      <c r="W30" s="63">
        <f t="shared" si="14"/>
        <v>104.89999999999998</v>
      </c>
      <c r="X30" s="63">
        <f t="shared" si="2"/>
        <v>10489.999999999998</v>
      </c>
      <c r="Y30" s="49"/>
      <c r="Z30" s="13">
        <f t="shared" si="15"/>
        <v>35840</v>
      </c>
      <c r="AA30" s="13">
        <v>33600</v>
      </c>
      <c r="AB30" s="13">
        <f t="shared" si="3"/>
        <v>25210.799999999996</v>
      </c>
      <c r="AC30" s="14">
        <f t="shared" si="4"/>
        <v>25350</v>
      </c>
    </row>
    <row r="31" spans="1:29" ht="15.95" customHeight="1" x14ac:dyDescent="0.25">
      <c r="A31" s="47">
        <v>29</v>
      </c>
      <c r="B31" s="48">
        <v>7101007</v>
      </c>
      <c r="C31" s="10" t="s">
        <v>45</v>
      </c>
      <c r="D31" s="49">
        <v>100</v>
      </c>
      <c r="E31" s="50">
        <v>425</v>
      </c>
      <c r="F31" s="51">
        <v>0.35</v>
      </c>
      <c r="G31" s="52">
        <f t="shared" si="5"/>
        <v>148.75</v>
      </c>
      <c r="H31" s="53">
        <f t="shared" si="6"/>
        <v>276.25</v>
      </c>
      <c r="I31" s="54">
        <v>609.6</v>
      </c>
      <c r="J31" s="55">
        <v>0.53</v>
      </c>
      <c r="K31" s="56">
        <f t="shared" si="7"/>
        <v>323.08800000000002</v>
      </c>
      <c r="L31" s="57">
        <f t="shared" si="8"/>
        <v>286.512</v>
      </c>
      <c r="M31" s="58">
        <f t="shared" si="9"/>
        <v>3.5816998938962419</v>
      </c>
      <c r="N31" s="49">
        <v>635</v>
      </c>
      <c r="O31" s="59">
        <v>0.36</v>
      </c>
      <c r="P31" s="11">
        <f t="shared" si="10"/>
        <v>228.6</v>
      </c>
      <c r="Q31" s="12">
        <f t="shared" si="11"/>
        <v>406.4</v>
      </c>
      <c r="R31" s="60">
        <f t="shared" si="12"/>
        <v>32.025098425196845</v>
      </c>
      <c r="S31" s="61">
        <f t="shared" si="13"/>
        <v>276.25</v>
      </c>
      <c r="T31" s="62" t="s">
        <v>222</v>
      </c>
      <c r="U31" s="63">
        <f t="shared" si="0"/>
        <v>119.88799999999998</v>
      </c>
      <c r="V31" s="11">
        <f t="shared" si="1"/>
        <v>11988.799999999997</v>
      </c>
      <c r="W31" s="63">
        <f t="shared" si="14"/>
        <v>130.14999999999998</v>
      </c>
      <c r="X31" s="63">
        <f t="shared" si="2"/>
        <v>13014.999999999998</v>
      </c>
      <c r="Y31" s="49"/>
      <c r="Z31" s="13">
        <f t="shared" si="15"/>
        <v>40640</v>
      </c>
      <c r="AA31" s="13">
        <v>38100</v>
      </c>
      <c r="AB31" s="13">
        <f t="shared" si="3"/>
        <v>28651.200000000001</v>
      </c>
      <c r="AC31" s="14">
        <f t="shared" si="4"/>
        <v>27625</v>
      </c>
    </row>
    <row r="32" spans="1:29" ht="15.95" customHeight="1" x14ac:dyDescent="0.25">
      <c r="A32" s="47">
        <v>30</v>
      </c>
      <c r="B32" s="48">
        <v>7101008</v>
      </c>
      <c r="C32" s="10" t="s">
        <v>46</v>
      </c>
      <c r="D32" s="49">
        <v>25</v>
      </c>
      <c r="E32" s="50">
        <v>460</v>
      </c>
      <c r="F32" s="51">
        <v>0.35</v>
      </c>
      <c r="G32" s="52">
        <f t="shared" si="5"/>
        <v>161</v>
      </c>
      <c r="H32" s="53">
        <f t="shared" si="6"/>
        <v>299</v>
      </c>
      <c r="I32" s="54">
        <v>704.4</v>
      </c>
      <c r="J32" s="55">
        <v>0.53</v>
      </c>
      <c r="K32" s="56">
        <f t="shared" si="7"/>
        <v>373.33199999999999</v>
      </c>
      <c r="L32" s="57">
        <f t="shared" si="8"/>
        <v>331.06799999999998</v>
      </c>
      <c r="M32" s="58">
        <f t="shared" si="9"/>
        <v>9.6862276027885468</v>
      </c>
      <c r="N32" s="49">
        <v>735</v>
      </c>
      <c r="O32" s="59">
        <v>0.36</v>
      </c>
      <c r="P32" s="11">
        <f t="shared" si="10"/>
        <v>264.59999999999997</v>
      </c>
      <c r="Q32" s="12">
        <f t="shared" si="11"/>
        <v>470.40000000000003</v>
      </c>
      <c r="R32" s="60">
        <f t="shared" si="12"/>
        <v>36.43707482993198</v>
      </c>
      <c r="S32" s="61">
        <f t="shared" si="13"/>
        <v>299</v>
      </c>
      <c r="T32" s="62" t="s">
        <v>229</v>
      </c>
      <c r="U32" s="63">
        <f t="shared" si="0"/>
        <v>139.33200000000005</v>
      </c>
      <c r="V32" s="11">
        <f t="shared" si="1"/>
        <v>3483.3000000000011</v>
      </c>
      <c r="W32" s="63">
        <f t="shared" si="14"/>
        <v>171.40000000000003</v>
      </c>
      <c r="X32" s="63">
        <f t="shared" si="2"/>
        <v>4285.0000000000009</v>
      </c>
      <c r="Y32" s="49"/>
      <c r="Z32" s="13">
        <f t="shared" si="15"/>
        <v>11760</v>
      </c>
      <c r="AA32" s="13">
        <v>11025</v>
      </c>
      <c r="AB32" s="13">
        <f t="shared" si="3"/>
        <v>8276.6999999999989</v>
      </c>
      <c r="AC32" s="14">
        <f t="shared" si="4"/>
        <v>7475</v>
      </c>
    </row>
    <row r="33" spans="1:29" ht="15.95" customHeight="1" x14ac:dyDescent="0.25">
      <c r="A33" s="47">
        <v>31</v>
      </c>
      <c r="B33" s="48">
        <v>7101009</v>
      </c>
      <c r="C33" s="10" t="s">
        <v>47</v>
      </c>
      <c r="D33" s="49">
        <v>25</v>
      </c>
      <c r="E33" s="50">
        <v>480</v>
      </c>
      <c r="F33" s="51">
        <v>0.35</v>
      </c>
      <c r="G33" s="52">
        <f t="shared" si="5"/>
        <v>168</v>
      </c>
      <c r="H33" s="53">
        <f t="shared" si="6"/>
        <v>312</v>
      </c>
      <c r="I33" s="54">
        <v>746</v>
      </c>
      <c r="J33" s="55">
        <v>0.53</v>
      </c>
      <c r="K33" s="56">
        <f t="shared" si="7"/>
        <v>395.38</v>
      </c>
      <c r="L33" s="57">
        <f t="shared" si="8"/>
        <v>350.62</v>
      </c>
      <c r="M33" s="58">
        <f t="shared" si="9"/>
        <v>11.014773829216818</v>
      </c>
      <c r="N33" s="49">
        <v>775</v>
      </c>
      <c r="O33" s="59">
        <v>0.36</v>
      </c>
      <c r="P33" s="11">
        <f t="shared" si="10"/>
        <v>279</v>
      </c>
      <c r="Q33" s="12">
        <f t="shared" si="11"/>
        <v>496</v>
      </c>
      <c r="R33" s="60">
        <f t="shared" si="12"/>
        <v>37.096774193548384</v>
      </c>
      <c r="S33" s="61">
        <f t="shared" si="13"/>
        <v>312</v>
      </c>
      <c r="T33" s="62" t="s">
        <v>229</v>
      </c>
      <c r="U33" s="63">
        <f t="shared" si="0"/>
        <v>145.38</v>
      </c>
      <c r="V33" s="11">
        <f t="shared" si="1"/>
        <v>3634.5</v>
      </c>
      <c r="W33" s="63">
        <f t="shared" si="14"/>
        <v>184</v>
      </c>
      <c r="X33" s="63">
        <f t="shared" si="2"/>
        <v>4600</v>
      </c>
      <c r="Y33" s="49"/>
      <c r="Z33" s="13">
        <f t="shared" si="15"/>
        <v>12400</v>
      </c>
      <c r="AA33" s="13">
        <v>11625</v>
      </c>
      <c r="AB33" s="13">
        <f t="shared" si="3"/>
        <v>8765.5</v>
      </c>
      <c r="AC33" s="14">
        <f t="shared" si="4"/>
        <v>7800</v>
      </c>
    </row>
    <row r="34" spans="1:29" ht="15.95" customHeight="1" x14ac:dyDescent="0.25">
      <c r="A34" s="47">
        <v>32</v>
      </c>
      <c r="B34" s="48">
        <v>7101012</v>
      </c>
      <c r="C34" s="10" t="s">
        <v>48</v>
      </c>
      <c r="D34" s="49">
        <v>25</v>
      </c>
      <c r="E34" s="50">
        <v>610</v>
      </c>
      <c r="F34" s="51">
        <v>0.35</v>
      </c>
      <c r="G34" s="52">
        <f t="shared" si="5"/>
        <v>213.5</v>
      </c>
      <c r="H34" s="53">
        <f t="shared" si="6"/>
        <v>396.5</v>
      </c>
      <c r="I34" s="54">
        <v>861.4</v>
      </c>
      <c r="J34" s="55">
        <v>0.53</v>
      </c>
      <c r="K34" s="56">
        <f t="shared" si="7"/>
        <v>456.54200000000003</v>
      </c>
      <c r="L34" s="57">
        <f t="shared" si="8"/>
        <v>404.85799999999995</v>
      </c>
      <c r="M34" s="58">
        <f t="shared" si="9"/>
        <v>2.0644275276763575</v>
      </c>
      <c r="N34" s="49">
        <v>895</v>
      </c>
      <c r="O34" s="59">
        <v>0.36</v>
      </c>
      <c r="P34" s="11">
        <f t="shared" si="10"/>
        <v>322.2</v>
      </c>
      <c r="Q34" s="12">
        <f t="shared" si="11"/>
        <v>572.79999999999995</v>
      </c>
      <c r="R34" s="60">
        <f t="shared" si="12"/>
        <v>30.778631284916198</v>
      </c>
      <c r="S34" s="61">
        <f t="shared" si="13"/>
        <v>396.5</v>
      </c>
      <c r="T34" s="62" t="s">
        <v>222</v>
      </c>
      <c r="U34" s="63">
        <f t="shared" si="0"/>
        <v>167.94200000000001</v>
      </c>
      <c r="V34" s="11">
        <f t="shared" si="1"/>
        <v>4198.55</v>
      </c>
      <c r="W34" s="63">
        <f t="shared" si="14"/>
        <v>176.29999999999995</v>
      </c>
      <c r="X34" s="63">
        <f t="shared" si="2"/>
        <v>4407.4999999999991</v>
      </c>
      <c r="Y34" s="49"/>
      <c r="Z34" s="13">
        <f t="shared" si="15"/>
        <v>14319.999999999998</v>
      </c>
      <c r="AA34" s="13">
        <v>13425</v>
      </c>
      <c r="AB34" s="13">
        <f t="shared" si="3"/>
        <v>10121.449999999999</v>
      </c>
      <c r="AC34" s="14">
        <f t="shared" si="4"/>
        <v>9912.5</v>
      </c>
    </row>
    <row r="35" spans="1:29" ht="15.95" customHeight="1" x14ac:dyDescent="0.25">
      <c r="A35" s="47">
        <v>33</v>
      </c>
      <c r="B35" s="48">
        <v>7101012</v>
      </c>
      <c r="C35" s="10" t="s">
        <v>60</v>
      </c>
      <c r="D35" s="49">
        <v>100</v>
      </c>
      <c r="E35" s="50">
        <v>90</v>
      </c>
      <c r="F35" s="51">
        <v>0.35</v>
      </c>
      <c r="G35" s="52">
        <f t="shared" si="5"/>
        <v>31.499999999999996</v>
      </c>
      <c r="H35" s="53">
        <f t="shared" si="6"/>
        <v>58.5</v>
      </c>
      <c r="I35" s="54">
        <v>138.19999999999999</v>
      </c>
      <c r="J35" s="55">
        <v>0.53</v>
      </c>
      <c r="K35" s="56">
        <f t="shared" si="7"/>
        <v>73.245999999999995</v>
      </c>
      <c r="L35" s="57">
        <f t="shared" si="8"/>
        <v>64.953999999999994</v>
      </c>
      <c r="M35" s="58">
        <f t="shared" si="9"/>
        <v>9.9362625858299634</v>
      </c>
      <c r="N35" s="49">
        <v>145</v>
      </c>
      <c r="O35" s="59">
        <v>0.36</v>
      </c>
      <c r="P35" s="11">
        <f t="shared" si="10"/>
        <v>52.199999999999996</v>
      </c>
      <c r="Q35" s="12">
        <f t="shared" si="11"/>
        <v>92.800000000000011</v>
      </c>
      <c r="R35" s="60">
        <f t="shared" si="12"/>
        <v>36.96120689655173</v>
      </c>
      <c r="S35" s="61">
        <f t="shared" si="13"/>
        <v>58.5</v>
      </c>
      <c r="T35" s="62" t="s">
        <v>229</v>
      </c>
      <c r="U35" s="63">
        <f t="shared" si="0"/>
        <v>27.846000000000018</v>
      </c>
      <c r="V35" s="11">
        <f t="shared" si="1"/>
        <v>2784.6000000000017</v>
      </c>
      <c r="W35" s="63">
        <f t="shared" si="14"/>
        <v>34.300000000000011</v>
      </c>
      <c r="X35" s="63">
        <f t="shared" si="2"/>
        <v>3430.0000000000009</v>
      </c>
      <c r="Y35" s="49"/>
      <c r="Z35" s="13">
        <f t="shared" si="15"/>
        <v>9280.0000000000018</v>
      </c>
      <c r="AA35" s="13">
        <v>8700</v>
      </c>
      <c r="AB35" s="13">
        <f t="shared" ref="AB35:AB66" si="16">L35*D35</f>
        <v>6495.4</v>
      </c>
      <c r="AC35" s="14">
        <f t="shared" ref="AC35:AC66" si="17">H35*D35</f>
        <v>5850</v>
      </c>
    </row>
    <row r="36" spans="1:29" ht="15.95" customHeight="1" x14ac:dyDescent="0.25">
      <c r="A36" s="47">
        <v>34</v>
      </c>
      <c r="B36" s="48" t="s">
        <v>183</v>
      </c>
      <c r="C36" s="10" t="s">
        <v>61</v>
      </c>
      <c r="D36" s="49">
        <v>145</v>
      </c>
      <c r="E36" s="50">
        <v>72</v>
      </c>
      <c r="F36" s="51">
        <v>0.35</v>
      </c>
      <c r="G36" s="52">
        <f t="shared" si="5"/>
        <v>25.2</v>
      </c>
      <c r="H36" s="53">
        <f t="shared" si="6"/>
        <v>46.8</v>
      </c>
      <c r="I36" s="54">
        <v>96.1</v>
      </c>
      <c r="J36" s="55">
        <v>0.53</v>
      </c>
      <c r="K36" s="56">
        <f t="shared" si="7"/>
        <v>50.933</v>
      </c>
      <c r="L36" s="57">
        <f t="shared" si="8"/>
        <v>45.166999999999994</v>
      </c>
      <c r="M36" s="58">
        <f t="shared" si="9"/>
        <v>-3.6154714725352646</v>
      </c>
      <c r="N36" s="49">
        <v>100</v>
      </c>
      <c r="O36" s="59">
        <v>0.36</v>
      </c>
      <c r="P36" s="11">
        <f t="shared" si="10"/>
        <v>36</v>
      </c>
      <c r="Q36" s="12">
        <f t="shared" si="11"/>
        <v>64</v>
      </c>
      <c r="R36" s="60">
        <f t="shared" si="12"/>
        <v>26.875000000000004</v>
      </c>
      <c r="S36" s="61">
        <f t="shared" si="13"/>
        <v>45.166999999999994</v>
      </c>
      <c r="T36" s="62" t="s">
        <v>222</v>
      </c>
      <c r="U36" s="63">
        <f t="shared" si="0"/>
        <v>18.833000000000006</v>
      </c>
      <c r="V36" s="11">
        <f t="shared" si="1"/>
        <v>2730.7850000000008</v>
      </c>
      <c r="W36" s="63">
        <f t="shared" si="14"/>
        <v>17.200000000000003</v>
      </c>
      <c r="X36" s="63">
        <f t="shared" si="2"/>
        <v>2494.0000000000005</v>
      </c>
      <c r="Y36" s="49"/>
      <c r="Z36" s="13">
        <f t="shared" si="15"/>
        <v>9280</v>
      </c>
      <c r="AA36" s="13">
        <v>8700</v>
      </c>
      <c r="AB36" s="13">
        <f t="shared" si="16"/>
        <v>6549.2149999999992</v>
      </c>
      <c r="AC36" s="14">
        <f t="shared" si="17"/>
        <v>6786</v>
      </c>
    </row>
    <row r="37" spans="1:29" ht="15.95" customHeight="1" x14ac:dyDescent="0.25">
      <c r="A37" s="47">
        <v>35</v>
      </c>
      <c r="B37" s="48" t="s">
        <v>184</v>
      </c>
      <c r="C37" s="10" t="s">
        <v>62</v>
      </c>
      <c r="D37" s="49">
        <v>132</v>
      </c>
      <c r="E37" s="50">
        <v>78</v>
      </c>
      <c r="F37" s="51">
        <v>0.35</v>
      </c>
      <c r="G37" s="52">
        <f t="shared" si="5"/>
        <v>27.299999999999997</v>
      </c>
      <c r="H37" s="53">
        <f t="shared" si="6"/>
        <v>50.7</v>
      </c>
      <c r="I37" s="54">
        <v>99.5</v>
      </c>
      <c r="J37" s="55">
        <v>0.53</v>
      </c>
      <c r="K37" s="56">
        <f t="shared" si="7"/>
        <v>52.734999999999999</v>
      </c>
      <c r="L37" s="57">
        <f t="shared" si="8"/>
        <v>46.765000000000001</v>
      </c>
      <c r="M37" s="58">
        <f t="shared" si="9"/>
        <v>-8.414412487971779</v>
      </c>
      <c r="N37" s="49">
        <v>100</v>
      </c>
      <c r="O37" s="59">
        <v>0.36</v>
      </c>
      <c r="P37" s="11">
        <f t="shared" si="10"/>
        <v>36</v>
      </c>
      <c r="Q37" s="12">
        <f t="shared" si="11"/>
        <v>64</v>
      </c>
      <c r="R37" s="60">
        <f t="shared" si="12"/>
        <v>20.781249999999996</v>
      </c>
      <c r="S37" s="61">
        <f t="shared" si="13"/>
        <v>46.765000000000001</v>
      </c>
      <c r="T37" s="62" t="s">
        <v>222</v>
      </c>
      <c r="U37" s="63">
        <f t="shared" si="0"/>
        <v>17.234999999999999</v>
      </c>
      <c r="V37" s="11">
        <f t="shared" si="1"/>
        <v>2275.02</v>
      </c>
      <c r="W37" s="63">
        <f t="shared" si="14"/>
        <v>13.299999999999997</v>
      </c>
      <c r="X37" s="63">
        <f t="shared" si="2"/>
        <v>1755.5999999999997</v>
      </c>
      <c r="Y37" s="49"/>
      <c r="Z37" s="13">
        <f t="shared" si="15"/>
        <v>8448</v>
      </c>
      <c r="AA37" s="13">
        <v>7920</v>
      </c>
      <c r="AB37" s="13">
        <f t="shared" si="16"/>
        <v>6172.9800000000005</v>
      </c>
      <c r="AC37" s="14">
        <f t="shared" si="17"/>
        <v>6692.4000000000005</v>
      </c>
    </row>
    <row r="38" spans="1:29" ht="15.95" customHeight="1" x14ac:dyDescent="0.25">
      <c r="A38" s="47">
        <v>36</v>
      </c>
      <c r="B38" s="48" t="s">
        <v>185</v>
      </c>
      <c r="C38" s="10" t="s">
        <v>63</v>
      </c>
      <c r="D38" s="49">
        <v>155</v>
      </c>
      <c r="E38" s="50">
        <v>100</v>
      </c>
      <c r="F38" s="51">
        <v>0.35</v>
      </c>
      <c r="G38" s="52">
        <f t="shared" si="5"/>
        <v>35</v>
      </c>
      <c r="H38" s="53">
        <f t="shared" si="6"/>
        <v>65</v>
      </c>
      <c r="I38" s="54">
        <v>109.5</v>
      </c>
      <c r="J38" s="55">
        <v>0.53</v>
      </c>
      <c r="K38" s="56">
        <f t="shared" si="7"/>
        <v>58.035000000000004</v>
      </c>
      <c r="L38" s="57">
        <f t="shared" si="8"/>
        <v>51.464999999999996</v>
      </c>
      <c r="M38" s="58">
        <f t="shared" si="9"/>
        <v>-26.299426794909174</v>
      </c>
      <c r="N38" s="49">
        <v>110</v>
      </c>
      <c r="O38" s="59">
        <v>0.36</v>
      </c>
      <c r="P38" s="11">
        <f t="shared" si="10"/>
        <v>39.6</v>
      </c>
      <c r="Q38" s="12">
        <f t="shared" si="11"/>
        <v>70.400000000000006</v>
      </c>
      <c r="R38" s="60">
        <f t="shared" si="12"/>
        <v>7.670454545454553</v>
      </c>
      <c r="S38" s="61">
        <f t="shared" si="13"/>
        <v>51.464999999999996</v>
      </c>
      <c r="T38" s="62" t="s">
        <v>222</v>
      </c>
      <c r="U38" s="63">
        <f t="shared" si="0"/>
        <v>18.935000000000009</v>
      </c>
      <c r="V38" s="11">
        <f t="shared" si="1"/>
        <v>2934.9250000000015</v>
      </c>
      <c r="W38" s="63">
        <f t="shared" si="14"/>
        <v>5.4000000000000057</v>
      </c>
      <c r="X38" s="63">
        <f t="shared" si="2"/>
        <v>837.00000000000091</v>
      </c>
      <c r="Y38" s="49"/>
      <c r="Z38" s="13">
        <f t="shared" si="15"/>
        <v>10912</v>
      </c>
      <c r="AA38" s="13">
        <v>10230</v>
      </c>
      <c r="AB38" s="13">
        <f t="shared" si="16"/>
        <v>7977.0749999999998</v>
      </c>
      <c r="AC38" s="14">
        <f t="shared" si="17"/>
        <v>10075</v>
      </c>
    </row>
    <row r="39" spans="1:29" ht="15.95" customHeight="1" x14ac:dyDescent="0.25">
      <c r="A39" s="47">
        <v>37</v>
      </c>
      <c r="B39" s="48" t="s">
        <v>186</v>
      </c>
      <c r="C39" s="10" t="s">
        <v>64</v>
      </c>
      <c r="D39" s="49">
        <v>183</v>
      </c>
      <c r="E39" s="50">
        <v>150</v>
      </c>
      <c r="F39" s="51">
        <v>0.35</v>
      </c>
      <c r="G39" s="52">
        <f t="shared" si="5"/>
        <v>52.5</v>
      </c>
      <c r="H39" s="53">
        <f t="shared" si="6"/>
        <v>97.5</v>
      </c>
      <c r="I39" s="54">
        <v>174.12</v>
      </c>
      <c r="J39" s="55">
        <v>0.53</v>
      </c>
      <c r="K39" s="56">
        <f t="shared" si="7"/>
        <v>92.283600000000007</v>
      </c>
      <c r="L39" s="57">
        <f t="shared" si="8"/>
        <v>81.836399999999998</v>
      </c>
      <c r="M39" s="58">
        <f t="shared" si="9"/>
        <v>-19.140138129243223</v>
      </c>
      <c r="N39" s="49">
        <v>175</v>
      </c>
      <c r="O39" s="59">
        <v>0.36</v>
      </c>
      <c r="P39" s="11">
        <f t="shared" si="10"/>
        <v>63</v>
      </c>
      <c r="Q39" s="12">
        <f t="shared" si="11"/>
        <v>112</v>
      </c>
      <c r="R39" s="60">
        <f t="shared" si="12"/>
        <v>12.946428571428571</v>
      </c>
      <c r="S39" s="61">
        <f t="shared" si="13"/>
        <v>81.836399999999998</v>
      </c>
      <c r="T39" s="62" t="s">
        <v>222</v>
      </c>
      <c r="U39" s="63">
        <f t="shared" si="0"/>
        <v>30.163600000000002</v>
      </c>
      <c r="V39" s="11">
        <f t="shared" si="1"/>
        <v>5519.9388000000008</v>
      </c>
      <c r="W39" s="63">
        <f t="shared" si="14"/>
        <v>14.5</v>
      </c>
      <c r="X39" s="63">
        <f t="shared" si="2"/>
        <v>2653.5</v>
      </c>
      <c r="Y39" s="49"/>
      <c r="Z39" s="13">
        <f t="shared" si="15"/>
        <v>20496</v>
      </c>
      <c r="AA39" s="13">
        <v>19215</v>
      </c>
      <c r="AB39" s="13">
        <f t="shared" si="16"/>
        <v>14976.0612</v>
      </c>
      <c r="AC39" s="14">
        <f t="shared" si="17"/>
        <v>17842.5</v>
      </c>
    </row>
    <row r="40" spans="1:29" ht="15.95" customHeight="1" x14ac:dyDescent="0.25">
      <c r="A40" s="47">
        <v>38</v>
      </c>
      <c r="B40" s="48" t="s">
        <v>187</v>
      </c>
      <c r="C40" s="10" t="s">
        <v>65</v>
      </c>
      <c r="D40" s="49">
        <v>100</v>
      </c>
      <c r="E40" s="50">
        <v>345</v>
      </c>
      <c r="F40" s="51">
        <v>0.35</v>
      </c>
      <c r="G40" s="52">
        <f t="shared" si="5"/>
        <v>120.74999999999999</v>
      </c>
      <c r="H40" s="53">
        <f t="shared" si="6"/>
        <v>224.25</v>
      </c>
      <c r="I40" s="54">
        <v>353.16</v>
      </c>
      <c r="J40" s="55">
        <v>0.53</v>
      </c>
      <c r="K40" s="56">
        <f t="shared" si="7"/>
        <v>187.17480000000003</v>
      </c>
      <c r="L40" s="57">
        <f t="shared" si="8"/>
        <v>165.98519999999999</v>
      </c>
      <c r="M40" s="58">
        <f t="shared" si="9"/>
        <v>-35.102406720599191</v>
      </c>
      <c r="N40" s="49">
        <v>355</v>
      </c>
      <c r="O40" s="59">
        <v>0.36</v>
      </c>
      <c r="P40" s="11">
        <f t="shared" si="10"/>
        <v>127.8</v>
      </c>
      <c r="Q40" s="12">
        <f t="shared" si="11"/>
        <v>227.2</v>
      </c>
      <c r="R40" s="60">
        <f t="shared" si="12"/>
        <v>1.2984154929577416</v>
      </c>
      <c r="S40" s="61">
        <f t="shared" si="13"/>
        <v>165.98519999999999</v>
      </c>
      <c r="T40" s="62" t="s">
        <v>222</v>
      </c>
      <c r="U40" s="63">
        <f t="shared" si="0"/>
        <v>61.214799999999997</v>
      </c>
      <c r="V40" s="11">
        <f t="shared" si="1"/>
        <v>6121.48</v>
      </c>
      <c r="W40" s="63">
        <f t="shared" si="14"/>
        <v>2.9499999999999886</v>
      </c>
      <c r="X40" s="63">
        <f t="shared" si="2"/>
        <v>294.99999999999886</v>
      </c>
      <c r="Y40" s="49"/>
      <c r="Z40" s="13">
        <f t="shared" si="15"/>
        <v>22720</v>
      </c>
      <c r="AA40" s="13">
        <v>21300</v>
      </c>
      <c r="AB40" s="13">
        <f t="shared" si="16"/>
        <v>16598.52</v>
      </c>
      <c r="AC40" s="14">
        <f t="shared" si="17"/>
        <v>22425</v>
      </c>
    </row>
    <row r="41" spans="1:29" ht="15.95" customHeight="1" x14ac:dyDescent="0.25">
      <c r="A41" s="47">
        <v>39</v>
      </c>
      <c r="B41" s="48">
        <v>1501016</v>
      </c>
      <c r="C41" s="10" t="s">
        <v>22</v>
      </c>
      <c r="D41" s="49">
        <v>100</v>
      </c>
      <c r="E41" s="50">
        <v>345</v>
      </c>
      <c r="F41" s="51">
        <v>0.35</v>
      </c>
      <c r="G41" s="52">
        <f t="shared" si="5"/>
        <v>120.74999999999999</v>
      </c>
      <c r="H41" s="53">
        <f t="shared" si="6"/>
        <v>224.25</v>
      </c>
      <c r="I41" s="54">
        <v>403</v>
      </c>
      <c r="J41" s="55">
        <v>0.53</v>
      </c>
      <c r="K41" s="56">
        <f t="shared" si="7"/>
        <v>213.59</v>
      </c>
      <c r="L41" s="57">
        <f t="shared" si="8"/>
        <v>189.41</v>
      </c>
      <c r="M41" s="58">
        <f t="shared" si="9"/>
        <v>-18.393960192175705</v>
      </c>
      <c r="N41" s="49">
        <v>405</v>
      </c>
      <c r="O41" s="59">
        <v>0.36</v>
      </c>
      <c r="P41" s="11">
        <f t="shared" si="10"/>
        <v>145.79999999999998</v>
      </c>
      <c r="Q41" s="12">
        <f t="shared" si="11"/>
        <v>259.20000000000005</v>
      </c>
      <c r="R41" s="60">
        <f t="shared" si="12"/>
        <v>13.483796296296312</v>
      </c>
      <c r="S41" s="61">
        <f t="shared" si="13"/>
        <v>189.41</v>
      </c>
      <c r="T41" s="62" t="s">
        <v>222</v>
      </c>
      <c r="U41" s="63">
        <f t="shared" si="0"/>
        <v>69.790000000000049</v>
      </c>
      <c r="V41" s="11">
        <f t="shared" si="1"/>
        <v>6979.0000000000045</v>
      </c>
      <c r="W41" s="63">
        <f t="shared" si="14"/>
        <v>34.950000000000045</v>
      </c>
      <c r="X41" s="63">
        <f t="shared" si="2"/>
        <v>3495.0000000000045</v>
      </c>
      <c r="Y41" s="49"/>
      <c r="Z41" s="13">
        <f t="shared" si="15"/>
        <v>25920.000000000004</v>
      </c>
      <c r="AA41" s="13">
        <v>24300</v>
      </c>
      <c r="AB41" s="13">
        <f t="shared" si="16"/>
        <v>18941</v>
      </c>
      <c r="AC41" s="14">
        <f t="shared" si="17"/>
        <v>22425</v>
      </c>
    </row>
    <row r="42" spans="1:29" ht="15.95" customHeight="1" x14ac:dyDescent="0.25">
      <c r="A42" s="47">
        <v>40</v>
      </c>
      <c r="B42" s="48">
        <v>1501021</v>
      </c>
      <c r="C42" s="10" t="s">
        <v>23</v>
      </c>
      <c r="D42" s="49">
        <v>100</v>
      </c>
      <c r="E42" s="50">
        <v>370</v>
      </c>
      <c r="F42" s="51">
        <v>0.35</v>
      </c>
      <c r="G42" s="52">
        <f t="shared" si="5"/>
        <v>129.5</v>
      </c>
      <c r="H42" s="53">
        <f t="shared" si="6"/>
        <v>240.5</v>
      </c>
      <c r="I42" s="54">
        <v>408</v>
      </c>
      <c r="J42" s="55">
        <v>0.53</v>
      </c>
      <c r="K42" s="56">
        <f t="shared" si="7"/>
        <v>216.24</v>
      </c>
      <c r="L42" s="57">
        <f t="shared" si="8"/>
        <v>191.76</v>
      </c>
      <c r="M42" s="58">
        <f t="shared" si="9"/>
        <v>-25.417188151856493</v>
      </c>
      <c r="N42" s="49">
        <v>410</v>
      </c>
      <c r="O42" s="59">
        <v>0.36</v>
      </c>
      <c r="P42" s="11">
        <f t="shared" si="10"/>
        <v>147.6</v>
      </c>
      <c r="Q42" s="12">
        <f t="shared" si="11"/>
        <v>262.39999999999998</v>
      </c>
      <c r="R42" s="60">
        <f t="shared" si="12"/>
        <v>8.3460365853658462</v>
      </c>
      <c r="S42" s="61">
        <f t="shared" si="13"/>
        <v>191.76</v>
      </c>
      <c r="T42" s="62" t="s">
        <v>222</v>
      </c>
      <c r="U42" s="63">
        <f t="shared" si="0"/>
        <v>70.639999999999986</v>
      </c>
      <c r="V42" s="11">
        <f t="shared" si="1"/>
        <v>7063.9999999999982</v>
      </c>
      <c r="W42" s="63">
        <f t="shared" si="14"/>
        <v>21.899999999999977</v>
      </c>
      <c r="X42" s="63">
        <f t="shared" si="2"/>
        <v>2189.9999999999977</v>
      </c>
      <c r="Y42" s="49"/>
      <c r="Z42" s="13">
        <f t="shared" si="15"/>
        <v>26239.999999999996</v>
      </c>
      <c r="AA42" s="13">
        <v>24600</v>
      </c>
      <c r="AB42" s="13">
        <f t="shared" si="16"/>
        <v>19176</v>
      </c>
      <c r="AC42" s="14">
        <f t="shared" si="17"/>
        <v>24050</v>
      </c>
    </row>
    <row r="43" spans="1:29" ht="15.95" customHeight="1" x14ac:dyDescent="0.25">
      <c r="A43" s="47">
        <v>41</v>
      </c>
      <c r="B43" s="48">
        <v>1501024</v>
      </c>
      <c r="C43" s="10" t="s">
        <v>24</v>
      </c>
      <c r="D43" s="49">
        <v>100</v>
      </c>
      <c r="E43" s="50">
        <v>425</v>
      </c>
      <c r="F43" s="51">
        <v>0.35</v>
      </c>
      <c r="G43" s="52">
        <f t="shared" si="5"/>
        <v>148.75</v>
      </c>
      <c r="H43" s="53">
        <f t="shared" si="6"/>
        <v>276.25</v>
      </c>
      <c r="I43" s="54">
        <v>447.8</v>
      </c>
      <c r="J43" s="55">
        <v>0.53</v>
      </c>
      <c r="K43" s="56">
        <f t="shared" si="7"/>
        <v>237.33400000000003</v>
      </c>
      <c r="L43" s="57">
        <f t="shared" si="8"/>
        <v>210.46599999999998</v>
      </c>
      <c r="M43" s="58">
        <f t="shared" si="9"/>
        <v>-31.256354945691957</v>
      </c>
      <c r="N43" s="49">
        <v>450</v>
      </c>
      <c r="O43" s="59">
        <v>0.36</v>
      </c>
      <c r="P43" s="11">
        <f t="shared" si="10"/>
        <v>162</v>
      </c>
      <c r="Q43" s="12">
        <f t="shared" si="11"/>
        <v>288</v>
      </c>
      <c r="R43" s="60">
        <f t="shared" si="12"/>
        <v>4.0798611111111107</v>
      </c>
      <c r="S43" s="61">
        <f t="shared" si="13"/>
        <v>210.46599999999998</v>
      </c>
      <c r="T43" s="62" t="s">
        <v>222</v>
      </c>
      <c r="U43" s="63">
        <f t="shared" si="0"/>
        <v>77.53400000000002</v>
      </c>
      <c r="V43" s="11">
        <f t="shared" si="1"/>
        <v>7753.4000000000024</v>
      </c>
      <c r="W43" s="63">
        <f t="shared" si="14"/>
        <v>11.75</v>
      </c>
      <c r="X43" s="63">
        <f t="shared" si="2"/>
        <v>1175</v>
      </c>
      <c r="Y43" s="49"/>
      <c r="Z43" s="13">
        <f t="shared" si="15"/>
        <v>28800</v>
      </c>
      <c r="AA43" s="13">
        <v>27000</v>
      </c>
      <c r="AB43" s="13">
        <f t="shared" si="16"/>
        <v>21046.6</v>
      </c>
      <c r="AC43" s="14">
        <f t="shared" si="17"/>
        <v>27625</v>
      </c>
    </row>
    <row r="44" spans="1:29" ht="15.95" customHeight="1" x14ac:dyDescent="0.25">
      <c r="A44" s="47">
        <v>42</v>
      </c>
      <c r="B44" s="48">
        <v>1501024</v>
      </c>
      <c r="C44" s="10" t="s">
        <v>25</v>
      </c>
      <c r="D44" s="49">
        <v>100</v>
      </c>
      <c r="E44" s="50">
        <v>660</v>
      </c>
      <c r="F44" s="51">
        <v>0.35</v>
      </c>
      <c r="G44" s="52">
        <f t="shared" si="5"/>
        <v>230.99999999999997</v>
      </c>
      <c r="H44" s="53">
        <f t="shared" si="6"/>
        <v>429</v>
      </c>
      <c r="I44" s="54">
        <v>691.5</v>
      </c>
      <c r="J44" s="55">
        <v>0.53</v>
      </c>
      <c r="K44" s="56">
        <f t="shared" si="7"/>
        <v>366.495</v>
      </c>
      <c r="L44" s="57">
        <f t="shared" si="8"/>
        <v>325.005</v>
      </c>
      <c r="M44" s="58">
        <f t="shared" si="9"/>
        <v>-31.997969262011352</v>
      </c>
      <c r="N44" s="49">
        <v>695</v>
      </c>
      <c r="O44" s="59">
        <v>0.36</v>
      </c>
      <c r="P44" s="11">
        <f t="shared" si="10"/>
        <v>250.2</v>
      </c>
      <c r="Q44" s="12">
        <f t="shared" si="11"/>
        <v>444.8</v>
      </c>
      <c r="R44" s="60">
        <f t="shared" si="12"/>
        <v>3.5521582733812975</v>
      </c>
      <c r="S44" s="61">
        <f t="shared" si="13"/>
        <v>325.005</v>
      </c>
      <c r="T44" s="62" t="s">
        <v>222</v>
      </c>
      <c r="U44" s="63">
        <f t="shared" si="0"/>
        <v>119.79500000000002</v>
      </c>
      <c r="V44" s="11">
        <f t="shared" si="1"/>
        <v>11979.500000000002</v>
      </c>
      <c r="W44" s="63">
        <f t="shared" si="14"/>
        <v>15.800000000000011</v>
      </c>
      <c r="X44" s="63">
        <f t="shared" si="2"/>
        <v>1580.0000000000011</v>
      </c>
      <c r="Y44" s="49"/>
      <c r="Z44" s="13">
        <f t="shared" si="15"/>
        <v>44480</v>
      </c>
      <c r="AA44" s="13">
        <v>41700</v>
      </c>
      <c r="AB44" s="13">
        <f t="shared" si="16"/>
        <v>32500.5</v>
      </c>
      <c r="AC44" s="14">
        <f t="shared" si="17"/>
        <v>42900</v>
      </c>
    </row>
    <row r="45" spans="1:29" ht="15.95" customHeight="1" x14ac:dyDescent="0.25">
      <c r="A45" s="47">
        <v>43</v>
      </c>
      <c r="B45" s="48">
        <v>1501030</v>
      </c>
      <c r="C45" s="10" t="s">
        <v>26</v>
      </c>
      <c r="D45" s="49">
        <v>100</v>
      </c>
      <c r="E45" s="50">
        <v>1120</v>
      </c>
      <c r="F45" s="51">
        <v>0.35</v>
      </c>
      <c r="G45" s="52">
        <f t="shared" si="5"/>
        <v>392</v>
      </c>
      <c r="H45" s="53">
        <f t="shared" si="6"/>
        <v>728</v>
      </c>
      <c r="I45" s="54">
        <v>1302</v>
      </c>
      <c r="J45" s="55">
        <v>0.53</v>
      </c>
      <c r="K45" s="56">
        <f t="shared" si="7"/>
        <v>690.06000000000006</v>
      </c>
      <c r="L45" s="57">
        <f t="shared" si="8"/>
        <v>611.93999999999994</v>
      </c>
      <c r="M45" s="58">
        <f t="shared" si="9"/>
        <v>-18.965911690688639</v>
      </c>
      <c r="N45" s="49">
        <v>1240</v>
      </c>
      <c r="O45" s="59">
        <v>0.36</v>
      </c>
      <c r="P45" s="11">
        <f t="shared" si="10"/>
        <v>446.4</v>
      </c>
      <c r="Q45" s="12">
        <f t="shared" si="11"/>
        <v>793.6</v>
      </c>
      <c r="R45" s="60">
        <f t="shared" si="12"/>
        <v>8.2661290322580658</v>
      </c>
      <c r="S45" s="61">
        <f t="shared" si="13"/>
        <v>611.93999999999994</v>
      </c>
      <c r="T45" s="62" t="s">
        <v>222</v>
      </c>
      <c r="U45" s="63">
        <f t="shared" si="0"/>
        <v>181.66000000000008</v>
      </c>
      <c r="V45" s="11">
        <f t="shared" si="1"/>
        <v>18166.000000000007</v>
      </c>
      <c r="W45" s="63">
        <f t="shared" si="14"/>
        <v>65.600000000000023</v>
      </c>
      <c r="X45" s="63">
        <f t="shared" si="2"/>
        <v>6560.0000000000018</v>
      </c>
      <c r="Y45" s="49"/>
      <c r="Z45" s="13">
        <f t="shared" si="15"/>
        <v>79360</v>
      </c>
      <c r="AA45" s="13">
        <v>74400</v>
      </c>
      <c r="AB45" s="13">
        <f t="shared" si="16"/>
        <v>61193.999999999993</v>
      </c>
      <c r="AC45" s="14">
        <f t="shared" si="17"/>
        <v>72800</v>
      </c>
    </row>
    <row r="46" spans="1:29" ht="15.95" customHeight="1" x14ac:dyDescent="0.25">
      <c r="A46" s="47">
        <v>44</v>
      </c>
      <c r="B46" s="48">
        <v>1501031</v>
      </c>
      <c r="C46" s="10" t="s">
        <v>27</v>
      </c>
      <c r="D46" s="49">
        <v>50</v>
      </c>
      <c r="E46" s="50">
        <v>4700</v>
      </c>
      <c r="F46" s="51">
        <v>0.35</v>
      </c>
      <c r="G46" s="52">
        <f t="shared" si="5"/>
        <v>1645</v>
      </c>
      <c r="H46" s="53">
        <f t="shared" si="6"/>
        <v>3055</v>
      </c>
      <c r="I46" s="54">
        <v>6378</v>
      </c>
      <c r="J46" s="55">
        <v>0.53</v>
      </c>
      <c r="K46" s="56">
        <f t="shared" si="7"/>
        <v>3380.34</v>
      </c>
      <c r="L46" s="57">
        <f t="shared" si="8"/>
        <v>2997.66</v>
      </c>
      <c r="M46" s="58">
        <f t="shared" si="9"/>
        <v>-1.9128253370962733</v>
      </c>
      <c r="N46" s="49">
        <v>6410</v>
      </c>
      <c r="O46" s="59">
        <v>0.36</v>
      </c>
      <c r="P46" s="11">
        <f t="shared" si="10"/>
        <v>2307.6</v>
      </c>
      <c r="Q46" s="12">
        <f t="shared" si="11"/>
        <v>4102.3999999999996</v>
      </c>
      <c r="R46" s="60">
        <f t="shared" si="12"/>
        <v>25.531396255850229</v>
      </c>
      <c r="S46" s="61">
        <f t="shared" si="13"/>
        <v>2997.66</v>
      </c>
      <c r="T46" s="62" t="s">
        <v>222</v>
      </c>
      <c r="U46" s="63">
        <f t="shared" si="0"/>
        <v>1104.7399999999998</v>
      </c>
      <c r="V46" s="11">
        <f t="shared" si="1"/>
        <v>55236.999999999985</v>
      </c>
      <c r="W46" s="63">
        <f t="shared" si="14"/>
        <v>1047.3999999999996</v>
      </c>
      <c r="X46" s="63">
        <f t="shared" si="2"/>
        <v>52369.999999999985</v>
      </c>
      <c r="Y46" s="49"/>
      <c r="Z46" s="13">
        <f t="shared" si="15"/>
        <v>205119.99999999997</v>
      </c>
      <c r="AA46" s="13">
        <v>192300</v>
      </c>
      <c r="AB46" s="13">
        <f t="shared" si="16"/>
        <v>149883</v>
      </c>
      <c r="AC46" s="14">
        <f t="shared" si="17"/>
        <v>152750</v>
      </c>
    </row>
    <row r="47" spans="1:29" ht="15.95" customHeight="1" x14ac:dyDescent="0.25">
      <c r="A47" s="47">
        <v>45</v>
      </c>
      <c r="B47" s="48">
        <v>1501033</v>
      </c>
      <c r="C47" s="10" t="s">
        <v>28</v>
      </c>
      <c r="D47" s="49">
        <v>50</v>
      </c>
      <c r="E47" s="50">
        <v>5650</v>
      </c>
      <c r="F47" s="51">
        <v>0.35</v>
      </c>
      <c r="G47" s="52">
        <f t="shared" si="5"/>
        <v>1977.4999999999998</v>
      </c>
      <c r="H47" s="53">
        <f t="shared" si="6"/>
        <v>3672.5</v>
      </c>
      <c r="I47" s="54">
        <v>7198.83</v>
      </c>
      <c r="J47" s="55">
        <v>0.53</v>
      </c>
      <c r="K47" s="56">
        <f t="shared" si="7"/>
        <v>3815.3799000000004</v>
      </c>
      <c r="L47" s="57">
        <f t="shared" si="8"/>
        <v>3383.4500999999996</v>
      </c>
      <c r="M47" s="58">
        <f t="shared" si="9"/>
        <v>-8.5430519575270356</v>
      </c>
      <c r="N47" s="49">
        <v>7235</v>
      </c>
      <c r="O47" s="59">
        <v>0.36</v>
      </c>
      <c r="P47" s="11">
        <f t="shared" si="10"/>
        <v>2604.6</v>
      </c>
      <c r="Q47" s="12">
        <f t="shared" si="11"/>
        <v>4630.3999999999996</v>
      </c>
      <c r="R47" s="60">
        <f t="shared" si="12"/>
        <v>20.687197650310985</v>
      </c>
      <c r="S47" s="61">
        <f t="shared" si="13"/>
        <v>3383.4500999999996</v>
      </c>
      <c r="T47" s="62" t="s">
        <v>222</v>
      </c>
      <c r="U47" s="63">
        <f t="shared" si="0"/>
        <v>1246.9499000000001</v>
      </c>
      <c r="V47" s="11">
        <f t="shared" si="1"/>
        <v>62347.495000000003</v>
      </c>
      <c r="W47" s="63">
        <f t="shared" si="14"/>
        <v>957.89999999999964</v>
      </c>
      <c r="X47" s="63">
        <f t="shared" si="2"/>
        <v>47894.999999999985</v>
      </c>
      <c r="Y47" s="49"/>
      <c r="Z47" s="13">
        <f t="shared" si="15"/>
        <v>231519.99999999997</v>
      </c>
      <c r="AA47" s="13">
        <v>217050</v>
      </c>
      <c r="AB47" s="13">
        <f t="shared" si="16"/>
        <v>169172.50499999998</v>
      </c>
      <c r="AC47" s="14">
        <f t="shared" si="17"/>
        <v>183625</v>
      </c>
    </row>
    <row r="48" spans="1:29" ht="15.95" customHeight="1" x14ac:dyDescent="0.25">
      <c r="A48" s="47">
        <v>46</v>
      </c>
      <c r="B48" s="48">
        <v>1501038</v>
      </c>
      <c r="C48" s="10" t="s">
        <v>29</v>
      </c>
      <c r="D48" s="49">
        <v>10</v>
      </c>
      <c r="E48" s="50">
        <v>12611</v>
      </c>
      <c r="F48" s="51">
        <v>0.35</v>
      </c>
      <c r="G48" s="52">
        <f t="shared" si="5"/>
        <v>4413.8499999999995</v>
      </c>
      <c r="H48" s="53">
        <f t="shared" si="6"/>
        <v>8197.1500000000015</v>
      </c>
      <c r="I48" s="54">
        <v>11875</v>
      </c>
      <c r="J48" s="55">
        <v>0.53</v>
      </c>
      <c r="K48" s="56">
        <f t="shared" si="7"/>
        <v>6293.75</v>
      </c>
      <c r="L48" s="57">
        <f t="shared" si="8"/>
        <v>5581.25</v>
      </c>
      <c r="M48" s="58">
        <f t="shared" si="9"/>
        <v>-46.869428891377403</v>
      </c>
      <c r="N48" s="49">
        <v>11935</v>
      </c>
      <c r="O48" s="59">
        <v>0.36</v>
      </c>
      <c r="P48" s="11">
        <f t="shared" si="10"/>
        <v>4296.5999999999995</v>
      </c>
      <c r="Q48" s="12">
        <f t="shared" si="11"/>
        <v>7638.4000000000005</v>
      </c>
      <c r="R48" s="60">
        <f t="shared" si="12"/>
        <v>-7.3150136154168521</v>
      </c>
      <c r="S48" s="61">
        <f t="shared" si="13"/>
        <v>5581.25</v>
      </c>
      <c r="T48" s="62" t="s">
        <v>222</v>
      </c>
      <c r="U48" s="63">
        <f t="shared" si="0"/>
        <v>2057.1500000000005</v>
      </c>
      <c r="V48" s="11">
        <f t="shared" si="1"/>
        <v>20571.500000000007</v>
      </c>
      <c r="W48" s="63">
        <f t="shared" si="14"/>
        <v>-558.75000000000091</v>
      </c>
      <c r="X48" s="63">
        <f t="shared" si="2"/>
        <v>-5587.5000000000091</v>
      </c>
      <c r="Y48" s="49"/>
      <c r="Z48" s="13">
        <f t="shared" si="15"/>
        <v>76384</v>
      </c>
      <c r="AA48" s="13">
        <v>71610</v>
      </c>
      <c r="AB48" s="13">
        <f t="shared" si="16"/>
        <v>55812.5</v>
      </c>
      <c r="AC48" s="14">
        <f t="shared" si="17"/>
        <v>81971.500000000015</v>
      </c>
    </row>
    <row r="49" spans="1:29" ht="15.95" customHeight="1" x14ac:dyDescent="0.25">
      <c r="A49" s="47">
        <v>47</v>
      </c>
      <c r="B49" s="48">
        <v>3021006</v>
      </c>
      <c r="C49" s="10" t="s">
        <v>49</v>
      </c>
      <c r="D49" s="49">
        <v>30</v>
      </c>
      <c r="E49" s="50">
        <v>520</v>
      </c>
      <c r="F49" s="51">
        <v>0.35</v>
      </c>
      <c r="G49" s="52">
        <f t="shared" si="5"/>
        <v>182</v>
      </c>
      <c r="H49" s="53">
        <f t="shared" si="6"/>
        <v>338</v>
      </c>
      <c r="I49" s="54">
        <v>719</v>
      </c>
      <c r="J49" s="55">
        <v>0.53</v>
      </c>
      <c r="K49" s="56">
        <f t="shared" si="7"/>
        <v>381.07</v>
      </c>
      <c r="L49" s="57">
        <f t="shared" si="8"/>
        <v>337.93</v>
      </c>
      <c r="M49" s="58">
        <f t="shared" si="9"/>
        <v>-2.071434912555653E-2</v>
      </c>
      <c r="N49" s="49">
        <v>635</v>
      </c>
      <c r="O49" s="59">
        <v>0.36</v>
      </c>
      <c r="P49" s="11">
        <f t="shared" si="10"/>
        <v>228.6</v>
      </c>
      <c r="Q49" s="12">
        <f t="shared" si="11"/>
        <v>406.4</v>
      </c>
      <c r="R49" s="60">
        <f t="shared" si="12"/>
        <v>16.830708661417319</v>
      </c>
      <c r="S49" s="61">
        <f t="shared" si="13"/>
        <v>337.93</v>
      </c>
      <c r="T49" s="62" t="s">
        <v>222</v>
      </c>
      <c r="U49" s="63">
        <f t="shared" si="0"/>
        <v>68.46999999999997</v>
      </c>
      <c r="V49" s="11">
        <f t="shared" si="1"/>
        <v>2054.099999999999</v>
      </c>
      <c r="W49" s="63">
        <f t="shared" si="14"/>
        <v>68.399999999999977</v>
      </c>
      <c r="X49" s="63">
        <f t="shared" si="2"/>
        <v>2051.9999999999991</v>
      </c>
      <c r="Y49" s="49"/>
      <c r="Z49" s="13">
        <f t="shared" si="15"/>
        <v>12192</v>
      </c>
      <c r="AA49" s="13">
        <v>11430</v>
      </c>
      <c r="AB49" s="13">
        <f t="shared" si="16"/>
        <v>10137.9</v>
      </c>
      <c r="AC49" s="14">
        <f t="shared" si="17"/>
        <v>10140</v>
      </c>
    </row>
    <row r="50" spans="1:29" ht="15.95" customHeight="1" x14ac:dyDescent="0.25">
      <c r="A50" s="47">
        <v>48</v>
      </c>
      <c r="B50" s="48">
        <v>3021009</v>
      </c>
      <c r="C50" s="10" t="s">
        <v>50</v>
      </c>
      <c r="D50" s="49">
        <v>30</v>
      </c>
      <c r="E50" s="50">
        <v>550</v>
      </c>
      <c r="F50" s="51">
        <v>0.35</v>
      </c>
      <c r="G50" s="52">
        <f t="shared" si="5"/>
        <v>192.5</v>
      </c>
      <c r="H50" s="53">
        <f t="shared" si="6"/>
        <v>357.5</v>
      </c>
      <c r="I50" s="54">
        <v>828.5</v>
      </c>
      <c r="J50" s="55">
        <v>0.53</v>
      </c>
      <c r="K50" s="56">
        <f t="shared" si="7"/>
        <v>439.10500000000002</v>
      </c>
      <c r="L50" s="57">
        <f t="shared" si="8"/>
        <v>389.39499999999998</v>
      </c>
      <c r="M50" s="58">
        <f t="shared" si="9"/>
        <v>8.1909115422642778</v>
      </c>
      <c r="N50" s="49">
        <v>730</v>
      </c>
      <c r="O50" s="59">
        <v>0.36</v>
      </c>
      <c r="P50" s="11">
        <f t="shared" si="10"/>
        <v>262.8</v>
      </c>
      <c r="Q50" s="12">
        <f t="shared" si="11"/>
        <v>467.2</v>
      </c>
      <c r="R50" s="60">
        <f t="shared" si="12"/>
        <v>23.480308219178077</v>
      </c>
      <c r="S50" s="61">
        <f t="shared" si="13"/>
        <v>357.5</v>
      </c>
      <c r="T50" s="62" t="s">
        <v>229</v>
      </c>
      <c r="U50" s="63">
        <f t="shared" si="0"/>
        <v>77.805000000000007</v>
      </c>
      <c r="V50" s="11">
        <f t="shared" si="1"/>
        <v>2334.15</v>
      </c>
      <c r="W50" s="63">
        <f t="shared" si="14"/>
        <v>109.69999999999999</v>
      </c>
      <c r="X50" s="63">
        <f t="shared" si="2"/>
        <v>3290.9999999999995</v>
      </c>
      <c r="Y50" s="49"/>
      <c r="Z50" s="13">
        <f t="shared" si="15"/>
        <v>14016</v>
      </c>
      <c r="AA50" s="13">
        <v>13140</v>
      </c>
      <c r="AB50" s="13">
        <f t="shared" si="16"/>
        <v>11681.849999999999</v>
      </c>
      <c r="AC50" s="14">
        <f t="shared" si="17"/>
        <v>10725</v>
      </c>
    </row>
    <row r="51" spans="1:29" ht="15.95" customHeight="1" x14ac:dyDescent="0.25">
      <c r="A51" s="47">
        <v>49</v>
      </c>
      <c r="B51" s="48">
        <v>3021012</v>
      </c>
      <c r="C51" s="10" t="s">
        <v>51</v>
      </c>
      <c r="D51" s="49">
        <v>30</v>
      </c>
      <c r="E51" s="50">
        <v>650</v>
      </c>
      <c r="F51" s="51">
        <v>0.35</v>
      </c>
      <c r="G51" s="52">
        <f t="shared" si="5"/>
        <v>227.49999999999997</v>
      </c>
      <c r="H51" s="53">
        <f t="shared" si="6"/>
        <v>422.5</v>
      </c>
      <c r="I51" s="54">
        <v>988.5</v>
      </c>
      <c r="J51" s="55">
        <v>0.53</v>
      </c>
      <c r="K51" s="56">
        <f t="shared" si="7"/>
        <v>523.90499999999997</v>
      </c>
      <c r="L51" s="57">
        <f t="shared" si="8"/>
        <v>464.59500000000003</v>
      </c>
      <c r="M51" s="58">
        <f t="shared" si="9"/>
        <v>9.0605796446367322</v>
      </c>
      <c r="N51" s="49">
        <v>885</v>
      </c>
      <c r="O51" s="59">
        <v>0.36</v>
      </c>
      <c r="P51" s="11">
        <f t="shared" si="10"/>
        <v>318.59999999999997</v>
      </c>
      <c r="Q51" s="12">
        <f t="shared" si="11"/>
        <v>566.40000000000009</v>
      </c>
      <c r="R51" s="60">
        <f t="shared" si="12"/>
        <v>25.406073446327696</v>
      </c>
      <c r="S51" s="61">
        <f t="shared" si="13"/>
        <v>422.5</v>
      </c>
      <c r="T51" s="62" t="s">
        <v>229</v>
      </c>
      <c r="U51" s="63">
        <f t="shared" si="0"/>
        <v>101.80500000000006</v>
      </c>
      <c r="V51" s="11">
        <f t="shared" si="1"/>
        <v>3054.1500000000019</v>
      </c>
      <c r="W51" s="63">
        <f t="shared" si="14"/>
        <v>143.90000000000009</v>
      </c>
      <c r="X51" s="63">
        <f t="shared" si="2"/>
        <v>4317.0000000000027</v>
      </c>
      <c r="Y51" s="49"/>
      <c r="Z51" s="13">
        <f t="shared" si="15"/>
        <v>16992.000000000004</v>
      </c>
      <c r="AA51" s="13">
        <v>15930</v>
      </c>
      <c r="AB51" s="13">
        <f t="shared" si="16"/>
        <v>13937.85</v>
      </c>
      <c r="AC51" s="14">
        <f t="shared" si="17"/>
        <v>12675</v>
      </c>
    </row>
    <row r="52" spans="1:29" ht="15.95" customHeight="1" x14ac:dyDescent="0.25">
      <c r="A52" s="47">
        <v>50</v>
      </c>
      <c r="B52" s="48">
        <v>3021016</v>
      </c>
      <c r="C52" s="10" t="s">
        <v>52</v>
      </c>
      <c r="D52" s="49">
        <v>30</v>
      </c>
      <c r="E52" s="50">
        <v>700</v>
      </c>
      <c r="F52" s="51">
        <v>0.35</v>
      </c>
      <c r="G52" s="52">
        <f t="shared" si="5"/>
        <v>244.99999999999997</v>
      </c>
      <c r="H52" s="53">
        <f t="shared" si="6"/>
        <v>455</v>
      </c>
      <c r="I52" s="54">
        <v>1090.5</v>
      </c>
      <c r="J52" s="55">
        <v>0.53</v>
      </c>
      <c r="K52" s="56">
        <f t="shared" si="7"/>
        <v>577.96500000000003</v>
      </c>
      <c r="L52" s="57">
        <f t="shared" si="8"/>
        <v>512.53499999999997</v>
      </c>
      <c r="M52" s="58">
        <f t="shared" si="9"/>
        <v>11.225574838791491</v>
      </c>
      <c r="N52" s="49">
        <v>1005</v>
      </c>
      <c r="O52" s="59">
        <v>0.36</v>
      </c>
      <c r="P52" s="11">
        <f t="shared" si="10"/>
        <v>361.8</v>
      </c>
      <c r="Q52" s="12">
        <f t="shared" si="11"/>
        <v>643.20000000000005</v>
      </c>
      <c r="R52" s="60">
        <f t="shared" si="12"/>
        <v>29.259950248756223</v>
      </c>
      <c r="S52" s="61">
        <f t="shared" si="13"/>
        <v>455</v>
      </c>
      <c r="T52" s="62" t="s">
        <v>229</v>
      </c>
      <c r="U52" s="63">
        <f t="shared" si="0"/>
        <v>130.66500000000008</v>
      </c>
      <c r="V52" s="11">
        <f t="shared" si="1"/>
        <v>3919.9500000000025</v>
      </c>
      <c r="W52" s="63">
        <f t="shared" si="14"/>
        <v>188.20000000000005</v>
      </c>
      <c r="X52" s="63">
        <f t="shared" si="2"/>
        <v>5646.0000000000018</v>
      </c>
      <c r="Y52" s="49"/>
      <c r="Z52" s="13">
        <f t="shared" si="15"/>
        <v>19296</v>
      </c>
      <c r="AA52" s="13">
        <v>18090</v>
      </c>
      <c r="AB52" s="13">
        <f t="shared" si="16"/>
        <v>15376.05</v>
      </c>
      <c r="AC52" s="14">
        <f t="shared" si="17"/>
        <v>13650</v>
      </c>
    </row>
    <row r="53" spans="1:29" ht="15.95" customHeight="1" x14ac:dyDescent="0.25">
      <c r="A53" s="47">
        <v>51</v>
      </c>
      <c r="B53" s="48">
        <v>3021021</v>
      </c>
      <c r="C53" s="10" t="s">
        <v>53</v>
      </c>
      <c r="D53" s="49">
        <v>30</v>
      </c>
      <c r="E53" s="50">
        <v>990</v>
      </c>
      <c r="F53" s="51">
        <v>0.35</v>
      </c>
      <c r="G53" s="52">
        <f t="shared" si="5"/>
        <v>346.5</v>
      </c>
      <c r="H53" s="53">
        <f t="shared" si="6"/>
        <v>643.5</v>
      </c>
      <c r="I53" s="54">
        <v>1587</v>
      </c>
      <c r="J53" s="55">
        <v>0.53</v>
      </c>
      <c r="K53" s="56">
        <f t="shared" si="7"/>
        <v>841.11</v>
      </c>
      <c r="L53" s="57">
        <f t="shared" si="8"/>
        <v>745.89</v>
      </c>
      <c r="M53" s="58">
        <f t="shared" si="9"/>
        <v>13.727225194063466</v>
      </c>
      <c r="N53" s="49">
        <v>1480</v>
      </c>
      <c r="O53" s="59">
        <v>0.36</v>
      </c>
      <c r="P53" s="11">
        <f t="shared" si="10"/>
        <v>532.79999999999995</v>
      </c>
      <c r="Q53" s="12">
        <f t="shared" si="11"/>
        <v>947.2</v>
      </c>
      <c r="R53" s="60">
        <f t="shared" si="12"/>
        <v>32.062922297297298</v>
      </c>
      <c r="S53" s="61">
        <f t="shared" si="13"/>
        <v>643.5</v>
      </c>
      <c r="T53" s="62" t="s">
        <v>229</v>
      </c>
      <c r="U53" s="63">
        <f t="shared" si="0"/>
        <v>201.31000000000006</v>
      </c>
      <c r="V53" s="11">
        <f t="shared" si="1"/>
        <v>6039.300000000002</v>
      </c>
      <c r="W53" s="63">
        <f t="shared" si="14"/>
        <v>303.70000000000005</v>
      </c>
      <c r="X53" s="63">
        <f t="shared" si="2"/>
        <v>9111.0000000000018</v>
      </c>
      <c r="Y53" s="49"/>
      <c r="Z53" s="13">
        <f t="shared" si="15"/>
        <v>28416</v>
      </c>
      <c r="AA53" s="13">
        <v>26640</v>
      </c>
      <c r="AB53" s="13">
        <f t="shared" si="16"/>
        <v>22376.7</v>
      </c>
      <c r="AC53" s="14">
        <f t="shared" si="17"/>
        <v>19305</v>
      </c>
    </row>
    <row r="54" spans="1:29" ht="15.95" customHeight="1" x14ac:dyDescent="0.25">
      <c r="A54" s="47">
        <v>52</v>
      </c>
      <c r="B54" s="48">
        <v>3021024</v>
      </c>
      <c r="C54" s="10" t="s">
        <v>54</v>
      </c>
      <c r="D54" s="49">
        <v>30</v>
      </c>
      <c r="E54" s="50">
        <v>1500</v>
      </c>
      <c r="F54" s="51">
        <v>0.35</v>
      </c>
      <c r="G54" s="52">
        <f t="shared" si="5"/>
        <v>525</v>
      </c>
      <c r="H54" s="53">
        <f t="shared" si="6"/>
        <v>975</v>
      </c>
      <c r="I54" s="54">
        <v>2088.5</v>
      </c>
      <c r="J54" s="55">
        <v>0.53</v>
      </c>
      <c r="K54" s="56">
        <f t="shared" si="7"/>
        <v>1106.905</v>
      </c>
      <c r="L54" s="57">
        <f t="shared" si="8"/>
        <v>981.59500000000003</v>
      </c>
      <c r="M54" s="58">
        <f t="shared" si="9"/>
        <v>0.67186568798741098</v>
      </c>
      <c r="N54" s="49">
        <v>2065</v>
      </c>
      <c r="O54" s="59">
        <v>0.36</v>
      </c>
      <c r="P54" s="11">
        <f t="shared" si="10"/>
        <v>743.4</v>
      </c>
      <c r="Q54" s="12">
        <f t="shared" si="11"/>
        <v>1321.6</v>
      </c>
      <c r="R54" s="60">
        <f t="shared" si="12"/>
        <v>26.225786924939463</v>
      </c>
      <c r="S54" s="61">
        <f t="shared" si="13"/>
        <v>975</v>
      </c>
      <c r="T54" s="62" t="s">
        <v>222</v>
      </c>
      <c r="U54" s="63">
        <f t="shared" si="0"/>
        <v>340.00499999999988</v>
      </c>
      <c r="V54" s="11">
        <f t="shared" si="1"/>
        <v>10200.149999999996</v>
      </c>
      <c r="W54" s="63">
        <f t="shared" si="14"/>
        <v>346.59999999999991</v>
      </c>
      <c r="X54" s="63">
        <f t="shared" si="2"/>
        <v>10397.999999999996</v>
      </c>
      <c r="Y54" s="49"/>
      <c r="Z54" s="13">
        <f t="shared" si="15"/>
        <v>39648</v>
      </c>
      <c r="AA54" s="13">
        <v>37170</v>
      </c>
      <c r="AB54" s="13">
        <f t="shared" si="16"/>
        <v>29447.850000000002</v>
      </c>
      <c r="AC54" s="14">
        <f t="shared" si="17"/>
        <v>29250</v>
      </c>
    </row>
    <row r="55" spans="1:29" ht="15.95" customHeight="1" x14ac:dyDescent="0.25">
      <c r="A55" s="47">
        <v>53</v>
      </c>
      <c r="B55" s="48">
        <v>3021029</v>
      </c>
      <c r="C55" s="10" t="s">
        <v>55</v>
      </c>
      <c r="D55" s="49">
        <v>30</v>
      </c>
      <c r="E55" s="50">
        <v>1900</v>
      </c>
      <c r="F55" s="51">
        <v>0.35</v>
      </c>
      <c r="G55" s="52">
        <f t="shared" si="5"/>
        <v>665</v>
      </c>
      <c r="H55" s="53">
        <f t="shared" si="6"/>
        <v>1235</v>
      </c>
      <c r="I55" s="54">
        <v>2617</v>
      </c>
      <c r="J55" s="55">
        <v>0.53</v>
      </c>
      <c r="K55" s="56">
        <f t="shared" si="7"/>
        <v>1387.01</v>
      </c>
      <c r="L55" s="57">
        <f t="shared" si="8"/>
        <v>1229.99</v>
      </c>
      <c r="M55" s="58">
        <f t="shared" si="9"/>
        <v>-0.40732038471857418</v>
      </c>
      <c r="N55" s="49">
        <v>2520</v>
      </c>
      <c r="O55" s="59">
        <v>0.36</v>
      </c>
      <c r="P55" s="11">
        <f t="shared" si="10"/>
        <v>907.19999999999993</v>
      </c>
      <c r="Q55" s="12">
        <f t="shared" si="11"/>
        <v>1612.8000000000002</v>
      </c>
      <c r="R55" s="60">
        <f t="shared" si="12"/>
        <v>23.425099206349213</v>
      </c>
      <c r="S55" s="61">
        <f t="shared" si="13"/>
        <v>1229.99</v>
      </c>
      <c r="T55" s="62" t="s">
        <v>222</v>
      </c>
      <c r="U55" s="63">
        <f t="shared" si="0"/>
        <v>382.81000000000017</v>
      </c>
      <c r="V55" s="11">
        <f t="shared" si="1"/>
        <v>11484.300000000005</v>
      </c>
      <c r="W55" s="63">
        <f t="shared" si="14"/>
        <v>377.80000000000018</v>
      </c>
      <c r="X55" s="63">
        <f t="shared" si="2"/>
        <v>11334.000000000005</v>
      </c>
      <c r="Y55" s="49"/>
      <c r="Z55" s="13">
        <f t="shared" si="15"/>
        <v>48384.000000000007</v>
      </c>
      <c r="AA55" s="13">
        <v>45360</v>
      </c>
      <c r="AB55" s="13">
        <f t="shared" si="16"/>
        <v>36899.699999999997</v>
      </c>
      <c r="AC55" s="14">
        <f t="shared" si="17"/>
        <v>37050</v>
      </c>
    </row>
    <row r="56" spans="1:29" ht="15.95" customHeight="1" x14ac:dyDescent="0.25">
      <c r="A56" s="47">
        <v>54</v>
      </c>
      <c r="B56" s="48" t="s">
        <v>188</v>
      </c>
      <c r="C56" s="10" t="s">
        <v>56</v>
      </c>
      <c r="D56" s="49">
        <v>10</v>
      </c>
      <c r="E56" s="50">
        <v>360</v>
      </c>
      <c r="F56" s="51">
        <v>0.35</v>
      </c>
      <c r="G56" s="52">
        <f t="shared" si="5"/>
        <v>125.99999999999999</v>
      </c>
      <c r="H56" s="53">
        <f t="shared" si="6"/>
        <v>234</v>
      </c>
      <c r="I56" s="54">
        <v>1148</v>
      </c>
      <c r="J56" s="55">
        <v>0.53</v>
      </c>
      <c r="K56" s="56">
        <f t="shared" si="7"/>
        <v>608.44000000000005</v>
      </c>
      <c r="L56" s="57">
        <f t="shared" si="8"/>
        <v>539.55999999999995</v>
      </c>
      <c r="M56" s="58">
        <f t="shared" si="9"/>
        <v>56.631329231225436</v>
      </c>
      <c r="N56" s="49">
        <v>590</v>
      </c>
      <c r="O56" s="59">
        <v>0.36</v>
      </c>
      <c r="P56" s="11">
        <f t="shared" si="10"/>
        <v>212.4</v>
      </c>
      <c r="Q56" s="12">
        <f t="shared" si="11"/>
        <v>377.6</v>
      </c>
      <c r="R56" s="60">
        <f t="shared" si="12"/>
        <v>38.029661016949156</v>
      </c>
      <c r="S56" s="61">
        <f t="shared" si="13"/>
        <v>234</v>
      </c>
      <c r="T56" s="62" t="s">
        <v>229</v>
      </c>
      <c r="U56" s="63">
        <f t="shared" si="0"/>
        <v>-161.95999999999992</v>
      </c>
      <c r="V56" s="11">
        <f t="shared" si="1"/>
        <v>-1619.5999999999992</v>
      </c>
      <c r="W56" s="63">
        <f t="shared" si="14"/>
        <v>143.60000000000002</v>
      </c>
      <c r="X56" s="63">
        <f t="shared" si="2"/>
        <v>1436.0000000000002</v>
      </c>
      <c r="Y56" s="49"/>
      <c r="Z56" s="13">
        <f t="shared" si="15"/>
        <v>3776</v>
      </c>
      <c r="AA56" s="13">
        <v>3540</v>
      </c>
      <c r="AB56" s="13">
        <f t="shared" si="16"/>
        <v>5395.5999999999995</v>
      </c>
      <c r="AC56" s="14">
        <f t="shared" si="17"/>
        <v>2340</v>
      </c>
    </row>
    <row r="57" spans="1:29" ht="15.95" customHeight="1" x14ac:dyDescent="0.25">
      <c r="A57" s="47">
        <v>55</v>
      </c>
      <c r="B57" s="48" t="s">
        <v>189</v>
      </c>
      <c r="C57" s="10" t="s">
        <v>57</v>
      </c>
      <c r="D57" s="49">
        <v>10</v>
      </c>
      <c r="E57" s="50">
        <v>370</v>
      </c>
      <c r="F57" s="51">
        <v>0.35</v>
      </c>
      <c r="G57" s="52">
        <f t="shared" si="5"/>
        <v>129.5</v>
      </c>
      <c r="H57" s="53">
        <f t="shared" si="6"/>
        <v>240.5</v>
      </c>
      <c r="I57" s="54">
        <v>1202</v>
      </c>
      <c r="J57" s="55">
        <v>0.53</v>
      </c>
      <c r="K57" s="56">
        <f t="shared" si="7"/>
        <v>637.06000000000006</v>
      </c>
      <c r="L57" s="57">
        <f t="shared" si="8"/>
        <v>564.93999999999994</v>
      </c>
      <c r="M57" s="58">
        <f t="shared" si="9"/>
        <v>57.429107515842382</v>
      </c>
      <c r="N57" s="49">
        <v>580</v>
      </c>
      <c r="O57" s="59">
        <v>0.36</v>
      </c>
      <c r="P57" s="11">
        <f t="shared" si="10"/>
        <v>208.79999999999998</v>
      </c>
      <c r="Q57" s="12">
        <f t="shared" si="11"/>
        <v>371.20000000000005</v>
      </c>
      <c r="R57" s="60">
        <f t="shared" si="12"/>
        <v>35.210129310344833</v>
      </c>
      <c r="S57" s="61">
        <f t="shared" si="13"/>
        <v>240.5</v>
      </c>
      <c r="T57" s="62" t="s">
        <v>229</v>
      </c>
      <c r="U57" s="63">
        <f t="shared" si="0"/>
        <v>-193.7399999999999</v>
      </c>
      <c r="V57" s="11">
        <f t="shared" si="1"/>
        <v>-1937.399999999999</v>
      </c>
      <c r="W57" s="63">
        <f t="shared" si="14"/>
        <v>130.70000000000005</v>
      </c>
      <c r="X57" s="63">
        <f t="shared" si="2"/>
        <v>1307.0000000000005</v>
      </c>
      <c r="Y57" s="49"/>
      <c r="Z57" s="13">
        <f t="shared" si="15"/>
        <v>3712.0000000000005</v>
      </c>
      <c r="AA57" s="13">
        <v>3480</v>
      </c>
      <c r="AB57" s="13">
        <f t="shared" si="16"/>
        <v>5649.4</v>
      </c>
      <c r="AC57" s="14">
        <f t="shared" si="17"/>
        <v>2405</v>
      </c>
    </row>
    <row r="58" spans="1:29" ht="15.95" customHeight="1" x14ac:dyDescent="0.25">
      <c r="A58" s="47">
        <v>56</v>
      </c>
      <c r="B58" s="48" t="s">
        <v>190</v>
      </c>
      <c r="C58" s="10" t="s">
        <v>58</v>
      </c>
      <c r="D58" s="49">
        <v>10</v>
      </c>
      <c r="E58" s="50">
        <v>400</v>
      </c>
      <c r="F58" s="51">
        <v>0.35</v>
      </c>
      <c r="G58" s="52">
        <f t="shared" si="5"/>
        <v>140</v>
      </c>
      <c r="H58" s="53">
        <f t="shared" si="6"/>
        <v>260</v>
      </c>
      <c r="I58" s="54">
        <v>1290</v>
      </c>
      <c r="J58" s="55">
        <v>0.53</v>
      </c>
      <c r="K58" s="56">
        <f t="shared" si="7"/>
        <v>683.7</v>
      </c>
      <c r="L58" s="57">
        <f t="shared" si="8"/>
        <v>606.29999999999995</v>
      </c>
      <c r="M58" s="58">
        <f t="shared" si="9"/>
        <v>57.116938809170371</v>
      </c>
      <c r="N58" s="49">
        <v>670</v>
      </c>
      <c r="O58" s="59">
        <v>0.36</v>
      </c>
      <c r="P58" s="11">
        <f t="shared" si="10"/>
        <v>241.2</v>
      </c>
      <c r="Q58" s="12">
        <f t="shared" si="11"/>
        <v>428.8</v>
      </c>
      <c r="R58" s="60">
        <f t="shared" si="12"/>
        <v>39.365671641791046</v>
      </c>
      <c r="S58" s="61">
        <f t="shared" si="13"/>
        <v>260</v>
      </c>
      <c r="T58" s="62" t="s">
        <v>229</v>
      </c>
      <c r="U58" s="63">
        <f t="shared" si="0"/>
        <v>-177.49999999999994</v>
      </c>
      <c r="V58" s="11">
        <f t="shared" si="1"/>
        <v>-1774.9999999999995</v>
      </c>
      <c r="W58" s="63">
        <f t="shared" si="14"/>
        <v>168.8</v>
      </c>
      <c r="X58" s="63">
        <f t="shared" si="2"/>
        <v>1688</v>
      </c>
      <c r="Y58" s="49"/>
      <c r="Z58" s="13">
        <f t="shared" si="15"/>
        <v>4288</v>
      </c>
      <c r="AA58" s="13">
        <v>4020</v>
      </c>
      <c r="AB58" s="13">
        <f t="shared" si="16"/>
        <v>6063</v>
      </c>
      <c r="AC58" s="14">
        <f t="shared" si="17"/>
        <v>2600</v>
      </c>
    </row>
    <row r="59" spans="1:29" ht="15.95" customHeight="1" x14ac:dyDescent="0.25">
      <c r="A59" s="47">
        <v>57</v>
      </c>
      <c r="B59" s="48" t="s">
        <v>191</v>
      </c>
      <c r="C59" s="10" t="s">
        <v>59</v>
      </c>
      <c r="D59" s="49">
        <v>10</v>
      </c>
      <c r="E59" s="50">
        <v>450</v>
      </c>
      <c r="F59" s="51">
        <v>0.35</v>
      </c>
      <c r="G59" s="52">
        <f t="shared" si="5"/>
        <v>157.5</v>
      </c>
      <c r="H59" s="53">
        <f t="shared" si="6"/>
        <v>292.5</v>
      </c>
      <c r="I59" s="54">
        <v>1215</v>
      </c>
      <c r="J59" s="55">
        <v>0.53</v>
      </c>
      <c r="K59" s="56">
        <f t="shared" si="7"/>
        <v>643.95000000000005</v>
      </c>
      <c r="L59" s="57">
        <f t="shared" si="8"/>
        <v>571.04999999999995</v>
      </c>
      <c r="M59" s="58">
        <f t="shared" si="9"/>
        <v>48.77856579984239</v>
      </c>
      <c r="N59" s="49">
        <v>720</v>
      </c>
      <c r="O59" s="59">
        <v>0.36</v>
      </c>
      <c r="P59" s="11">
        <f t="shared" si="10"/>
        <v>259.2</v>
      </c>
      <c r="Q59" s="12">
        <f t="shared" si="11"/>
        <v>460.8</v>
      </c>
      <c r="R59" s="60">
        <f t="shared" si="12"/>
        <v>36.5234375</v>
      </c>
      <c r="S59" s="61">
        <f t="shared" si="13"/>
        <v>292.5</v>
      </c>
      <c r="T59" s="62" t="s">
        <v>229</v>
      </c>
      <c r="U59" s="63">
        <f t="shared" si="0"/>
        <v>-110.24999999999994</v>
      </c>
      <c r="V59" s="11">
        <f t="shared" si="1"/>
        <v>-1102.4999999999995</v>
      </c>
      <c r="W59" s="63">
        <f t="shared" si="14"/>
        <v>168.3</v>
      </c>
      <c r="X59" s="63">
        <f t="shared" si="2"/>
        <v>1683</v>
      </c>
      <c r="Y59" s="49"/>
      <c r="Z59" s="13">
        <f t="shared" si="15"/>
        <v>4608</v>
      </c>
      <c r="AA59" s="13">
        <v>4320</v>
      </c>
      <c r="AB59" s="13">
        <f t="shared" si="16"/>
        <v>5710.5</v>
      </c>
      <c r="AC59" s="14">
        <f t="shared" si="17"/>
        <v>2925</v>
      </c>
    </row>
    <row r="60" spans="1:29" ht="15.95" customHeight="1" x14ac:dyDescent="0.25">
      <c r="A60" s="47">
        <v>58</v>
      </c>
      <c r="B60" s="48">
        <v>7200001</v>
      </c>
      <c r="C60" s="10" t="s">
        <v>30</v>
      </c>
      <c r="D60" s="49">
        <v>300</v>
      </c>
      <c r="E60" s="50">
        <v>160</v>
      </c>
      <c r="F60" s="51">
        <v>0.35</v>
      </c>
      <c r="G60" s="52">
        <f t="shared" si="5"/>
        <v>56</v>
      </c>
      <c r="H60" s="53">
        <f t="shared" si="6"/>
        <v>104</v>
      </c>
      <c r="I60" s="54">
        <v>246.1</v>
      </c>
      <c r="J60" s="55">
        <v>0.53</v>
      </c>
      <c r="K60" s="56">
        <f t="shared" si="7"/>
        <v>130.43299999999999</v>
      </c>
      <c r="L60" s="57">
        <f t="shared" si="8"/>
        <v>115.667</v>
      </c>
      <c r="M60" s="58">
        <f t="shared" si="9"/>
        <v>10.086714447508799</v>
      </c>
      <c r="N60" s="49">
        <v>255</v>
      </c>
      <c r="O60" s="59">
        <v>0.36</v>
      </c>
      <c r="P60" s="11">
        <f t="shared" si="10"/>
        <v>91.8</v>
      </c>
      <c r="Q60" s="12">
        <f t="shared" si="11"/>
        <v>163.19999999999999</v>
      </c>
      <c r="R60" s="60">
        <f t="shared" si="12"/>
        <v>36.274509803921568</v>
      </c>
      <c r="S60" s="61">
        <f t="shared" si="13"/>
        <v>104</v>
      </c>
      <c r="T60" s="62" t="s">
        <v>229</v>
      </c>
      <c r="U60" s="63">
        <f t="shared" si="0"/>
        <v>47.532999999999987</v>
      </c>
      <c r="V60" s="11">
        <f t="shared" si="1"/>
        <v>14259.899999999996</v>
      </c>
      <c r="W60" s="63">
        <f t="shared" si="14"/>
        <v>59.199999999999989</v>
      </c>
      <c r="X60" s="63">
        <f t="shared" si="2"/>
        <v>17759.999999999996</v>
      </c>
      <c r="Y60" s="49"/>
      <c r="Z60" s="13">
        <f t="shared" si="15"/>
        <v>48960</v>
      </c>
      <c r="AA60" s="13">
        <v>45900</v>
      </c>
      <c r="AB60" s="13">
        <f t="shared" si="16"/>
        <v>34700.1</v>
      </c>
      <c r="AC60" s="14">
        <f t="shared" si="17"/>
        <v>31200</v>
      </c>
    </row>
    <row r="61" spans="1:29" ht="15.95" customHeight="1" x14ac:dyDescent="0.25">
      <c r="A61" s="47">
        <v>59</v>
      </c>
      <c r="B61" s="48">
        <v>7200002</v>
      </c>
      <c r="C61" s="10" t="s">
        <v>31</v>
      </c>
      <c r="D61" s="49">
        <v>300</v>
      </c>
      <c r="E61" s="50">
        <v>160</v>
      </c>
      <c r="F61" s="51">
        <v>0.35</v>
      </c>
      <c r="G61" s="52">
        <f t="shared" si="5"/>
        <v>56</v>
      </c>
      <c r="H61" s="53">
        <f t="shared" si="6"/>
        <v>104</v>
      </c>
      <c r="I61" s="54">
        <v>246.1</v>
      </c>
      <c r="J61" s="55">
        <v>0.53</v>
      </c>
      <c r="K61" s="56">
        <f t="shared" si="7"/>
        <v>130.43299999999999</v>
      </c>
      <c r="L61" s="57">
        <f t="shared" si="8"/>
        <v>115.667</v>
      </c>
      <c r="M61" s="58">
        <f t="shared" si="9"/>
        <v>10.086714447508799</v>
      </c>
      <c r="N61" s="49">
        <v>255</v>
      </c>
      <c r="O61" s="59">
        <v>0.36</v>
      </c>
      <c r="P61" s="11">
        <f t="shared" si="10"/>
        <v>91.8</v>
      </c>
      <c r="Q61" s="12">
        <f t="shared" si="11"/>
        <v>163.19999999999999</v>
      </c>
      <c r="R61" s="60">
        <f t="shared" si="12"/>
        <v>36.274509803921568</v>
      </c>
      <c r="S61" s="61">
        <f t="shared" si="13"/>
        <v>104</v>
      </c>
      <c r="T61" s="62" t="s">
        <v>229</v>
      </c>
      <c r="U61" s="63">
        <f t="shared" si="0"/>
        <v>47.532999999999987</v>
      </c>
      <c r="V61" s="11">
        <f t="shared" si="1"/>
        <v>14259.899999999996</v>
      </c>
      <c r="W61" s="63">
        <f t="shared" si="14"/>
        <v>59.199999999999989</v>
      </c>
      <c r="X61" s="63">
        <f t="shared" si="2"/>
        <v>17759.999999999996</v>
      </c>
      <c r="Y61" s="49"/>
      <c r="Z61" s="13">
        <f t="shared" si="15"/>
        <v>48960</v>
      </c>
      <c r="AA61" s="13">
        <v>45900</v>
      </c>
      <c r="AB61" s="13">
        <f t="shared" si="16"/>
        <v>34700.1</v>
      </c>
      <c r="AC61" s="14">
        <f t="shared" si="17"/>
        <v>31200</v>
      </c>
    </row>
    <row r="62" spans="1:29" ht="15.95" customHeight="1" x14ac:dyDescent="0.25">
      <c r="A62" s="47">
        <v>60</v>
      </c>
      <c r="B62" s="48">
        <v>7200002</v>
      </c>
      <c r="C62" s="10" t="s">
        <v>32</v>
      </c>
      <c r="D62" s="49">
        <v>300</v>
      </c>
      <c r="E62" s="50">
        <v>160</v>
      </c>
      <c r="F62" s="51">
        <v>0.35</v>
      </c>
      <c r="G62" s="52">
        <f t="shared" si="5"/>
        <v>56</v>
      </c>
      <c r="H62" s="53">
        <f t="shared" si="6"/>
        <v>104</v>
      </c>
      <c r="I62" s="54">
        <v>202</v>
      </c>
      <c r="J62" s="55">
        <v>0.53</v>
      </c>
      <c r="K62" s="56">
        <f t="shared" si="7"/>
        <v>107.06</v>
      </c>
      <c r="L62" s="57">
        <f t="shared" si="8"/>
        <v>94.94</v>
      </c>
      <c r="M62" s="58">
        <f t="shared" si="9"/>
        <v>-9.542869180535078</v>
      </c>
      <c r="N62" s="49">
        <v>210</v>
      </c>
      <c r="O62" s="59">
        <v>0.36</v>
      </c>
      <c r="P62" s="11">
        <f t="shared" si="10"/>
        <v>75.599999999999994</v>
      </c>
      <c r="Q62" s="12">
        <f t="shared" si="11"/>
        <v>134.4</v>
      </c>
      <c r="R62" s="60">
        <f t="shared" si="12"/>
        <v>22.61904761904762</v>
      </c>
      <c r="S62" s="61">
        <f t="shared" si="13"/>
        <v>94.94</v>
      </c>
      <c r="T62" s="62" t="s">
        <v>222</v>
      </c>
      <c r="U62" s="63">
        <f t="shared" si="0"/>
        <v>39.460000000000008</v>
      </c>
      <c r="V62" s="11">
        <f t="shared" si="1"/>
        <v>11838.000000000002</v>
      </c>
      <c r="W62" s="63">
        <f t="shared" si="14"/>
        <v>30.400000000000006</v>
      </c>
      <c r="X62" s="63">
        <f t="shared" si="2"/>
        <v>9120.0000000000018</v>
      </c>
      <c r="Y62" s="49"/>
      <c r="Z62" s="13">
        <f t="shared" si="15"/>
        <v>40320</v>
      </c>
      <c r="AA62" s="13">
        <v>37800</v>
      </c>
      <c r="AB62" s="13">
        <f t="shared" si="16"/>
        <v>28482</v>
      </c>
      <c r="AC62" s="14">
        <f t="shared" si="17"/>
        <v>31200</v>
      </c>
    </row>
    <row r="63" spans="1:29" ht="15.95" customHeight="1" x14ac:dyDescent="0.25">
      <c r="A63" s="47">
        <v>61</v>
      </c>
      <c r="B63" s="48">
        <v>7200076</v>
      </c>
      <c r="C63" s="10" t="s">
        <v>33</v>
      </c>
      <c r="D63" s="49">
        <v>300</v>
      </c>
      <c r="E63" s="50">
        <v>190</v>
      </c>
      <c r="F63" s="51">
        <v>0.35</v>
      </c>
      <c r="G63" s="52">
        <f t="shared" si="5"/>
        <v>66.5</v>
      </c>
      <c r="H63" s="53">
        <f t="shared" si="6"/>
        <v>123.5</v>
      </c>
      <c r="I63" s="54">
        <v>263.2</v>
      </c>
      <c r="J63" s="55">
        <v>0.53</v>
      </c>
      <c r="K63" s="56">
        <f t="shared" si="7"/>
        <v>139.49600000000001</v>
      </c>
      <c r="L63" s="57">
        <f t="shared" si="8"/>
        <v>123.70399999999998</v>
      </c>
      <c r="M63" s="58">
        <f t="shared" si="9"/>
        <v>0.16490978464720571</v>
      </c>
      <c r="N63" s="49">
        <v>275</v>
      </c>
      <c r="O63" s="59">
        <v>0.36</v>
      </c>
      <c r="P63" s="11">
        <f t="shared" si="10"/>
        <v>99</v>
      </c>
      <c r="Q63" s="12">
        <f t="shared" si="11"/>
        <v>176</v>
      </c>
      <c r="R63" s="60">
        <f t="shared" si="12"/>
        <v>29.829545454545453</v>
      </c>
      <c r="S63" s="61">
        <f t="shared" si="13"/>
        <v>123.5</v>
      </c>
      <c r="T63" s="62" t="s">
        <v>222</v>
      </c>
      <c r="U63" s="63">
        <f t="shared" si="0"/>
        <v>52.296000000000021</v>
      </c>
      <c r="V63" s="11">
        <f t="shared" si="1"/>
        <v>15688.800000000007</v>
      </c>
      <c r="W63" s="63">
        <f t="shared" si="14"/>
        <v>52.5</v>
      </c>
      <c r="X63" s="63">
        <f t="shared" si="2"/>
        <v>15750</v>
      </c>
      <c r="Y63" s="49"/>
      <c r="Z63" s="13">
        <f t="shared" si="15"/>
        <v>52800</v>
      </c>
      <c r="AA63" s="13">
        <v>49500</v>
      </c>
      <c r="AB63" s="13">
        <f t="shared" si="16"/>
        <v>37111.199999999997</v>
      </c>
      <c r="AC63" s="14">
        <f t="shared" si="17"/>
        <v>37050</v>
      </c>
    </row>
    <row r="64" spans="1:29" ht="15.95" customHeight="1" x14ac:dyDescent="0.25">
      <c r="A64" s="47">
        <v>62</v>
      </c>
      <c r="B64" s="48">
        <v>7200006</v>
      </c>
      <c r="C64" s="10" t="s">
        <v>34</v>
      </c>
      <c r="D64" s="49">
        <v>200</v>
      </c>
      <c r="E64" s="50">
        <v>200</v>
      </c>
      <c r="F64" s="51">
        <v>0.35</v>
      </c>
      <c r="G64" s="52">
        <f t="shared" si="5"/>
        <v>70</v>
      </c>
      <c r="H64" s="53">
        <f t="shared" si="6"/>
        <v>130</v>
      </c>
      <c r="I64" s="54">
        <v>304.10000000000002</v>
      </c>
      <c r="J64" s="55">
        <v>0.53</v>
      </c>
      <c r="K64" s="56">
        <f t="shared" si="7"/>
        <v>161.17300000000003</v>
      </c>
      <c r="L64" s="57">
        <f t="shared" si="8"/>
        <v>142.92699999999999</v>
      </c>
      <c r="M64" s="58">
        <f t="shared" si="9"/>
        <v>9.0444772506244409</v>
      </c>
      <c r="N64" s="49">
        <v>315</v>
      </c>
      <c r="O64" s="59">
        <v>0.36</v>
      </c>
      <c r="P64" s="11">
        <f t="shared" si="10"/>
        <v>113.39999999999999</v>
      </c>
      <c r="Q64" s="12">
        <f t="shared" si="11"/>
        <v>201.60000000000002</v>
      </c>
      <c r="R64" s="60">
        <f t="shared" si="12"/>
        <v>35.515873015873019</v>
      </c>
      <c r="S64" s="61">
        <f t="shared" si="13"/>
        <v>130</v>
      </c>
      <c r="T64" s="62" t="s">
        <v>229</v>
      </c>
      <c r="U64" s="63">
        <f t="shared" si="0"/>
        <v>58.67300000000003</v>
      </c>
      <c r="V64" s="11">
        <f t="shared" si="1"/>
        <v>11734.600000000006</v>
      </c>
      <c r="W64" s="63">
        <f t="shared" si="14"/>
        <v>71.600000000000023</v>
      </c>
      <c r="X64" s="63">
        <f t="shared" si="2"/>
        <v>14320.000000000004</v>
      </c>
      <c r="Y64" s="49"/>
      <c r="Z64" s="13">
        <f t="shared" si="15"/>
        <v>40320.000000000007</v>
      </c>
      <c r="AA64" s="13">
        <v>37800</v>
      </c>
      <c r="AB64" s="13">
        <f t="shared" si="16"/>
        <v>28585.399999999998</v>
      </c>
      <c r="AC64" s="14">
        <f t="shared" si="17"/>
        <v>26000</v>
      </c>
    </row>
    <row r="65" spans="1:29" ht="15.95" customHeight="1" x14ac:dyDescent="0.25">
      <c r="A65" s="47">
        <v>63</v>
      </c>
      <c r="B65" s="48" t="s">
        <v>192</v>
      </c>
      <c r="C65" s="10" t="s">
        <v>6</v>
      </c>
      <c r="D65" s="49">
        <v>100</v>
      </c>
      <c r="E65" s="50">
        <v>520</v>
      </c>
      <c r="F65" s="51">
        <v>0.35</v>
      </c>
      <c r="G65" s="52">
        <f t="shared" si="5"/>
        <v>182</v>
      </c>
      <c r="H65" s="53">
        <f t="shared" si="6"/>
        <v>338</v>
      </c>
      <c r="I65" s="54">
        <v>868</v>
      </c>
      <c r="J65" s="55">
        <v>0.53</v>
      </c>
      <c r="K65" s="56">
        <f>I65*J65</f>
        <v>460.04</v>
      </c>
      <c r="L65" s="57">
        <f>I65-K65</f>
        <v>407.96</v>
      </c>
      <c r="M65" s="58">
        <f t="shared" si="9"/>
        <v>17.14874007255613</v>
      </c>
      <c r="N65" s="49">
        <v>1020</v>
      </c>
      <c r="O65" s="59">
        <v>0.36</v>
      </c>
      <c r="P65" s="11">
        <f>N65*O65</f>
        <v>367.2</v>
      </c>
      <c r="Q65" s="12">
        <f>N65-P65</f>
        <v>652.79999999999995</v>
      </c>
      <c r="R65" s="60">
        <v>0</v>
      </c>
      <c r="S65" s="61">
        <f t="shared" si="13"/>
        <v>338</v>
      </c>
      <c r="T65" s="62" t="s">
        <v>229</v>
      </c>
      <c r="U65" s="63">
        <f t="shared" si="0"/>
        <v>244.83999999999997</v>
      </c>
      <c r="V65" s="11">
        <f t="shared" si="1"/>
        <v>24483.999999999996</v>
      </c>
      <c r="W65" s="63">
        <f t="shared" si="14"/>
        <v>314.79999999999995</v>
      </c>
      <c r="X65" s="63">
        <f t="shared" si="2"/>
        <v>31479.999999999996</v>
      </c>
      <c r="Y65" s="49"/>
      <c r="Z65" s="13">
        <f t="shared" si="15"/>
        <v>65279.999999999993</v>
      </c>
      <c r="AA65" s="13">
        <v>61200</v>
      </c>
      <c r="AB65" s="13">
        <f t="shared" si="16"/>
        <v>40796</v>
      </c>
      <c r="AC65" s="14">
        <f t="shared" si="17"/>
        <v>33800</v>
      </c>
    </row>
    <row r="66" spans="1:29" ht="15.95" customHeight="1" x14ac:dyDescent="0.25">
      <c r="A66" s="47">
        <v>64</v>
      </c>
      <c r="B66" s="48">
        <v>5655009</v>
      </c>
      <c r="C66" s="10" t="s">
        <v>7</v>
      </c>
      <c r="D66" s="49">
        <v>200</v>
      </c>
      <c r="E66" s="50">
        <v>700</v>
      </c>
      <c r="F66" s="51">
        <v>0.35</v>
      </c>
      <c r="G66" s="52">
        <f t="shared" si="5"/>
        <v>244.99999999999997</v>
      </c>
      <c r="H66" s="53">
        <f t="shared" si="6"/>
        <v>455</v>
      </c>
      <c r="I66" s="54">
        <v>1067</v>
      </c>
      <c r="J66" s="55">
        <v>0.53</v>
      </c>
      <c r="K66" s="56">
        <f>I66*J66</f>
        <v>565.51</v>
      </c>
      <c r="L66" s="57">
        <f>I66-K66</f>
        <v>501.49</v>
      </c>
      <c r="M66" s="58">
        <f t="shared" si="9"/>
        <v>9.2703742846317994</v>
      </c>
      <c r="N66" s="49">
        <v>1080</v>
      </c>
      <c r="O66" s="59">
        <v>0.36</v>
      </c>
      <c r="P66" s="11">
        <f>N66*O66</f>
        <v>388.8</v>
      </c>
      <c r="Q66" s="12">
        <f>N66-P66</f>
        <v>691.2</v>
      </c>
      <c r="R66" s="60">
        <f t="shared" si="12"/>
        <v>34.172453703703709</v>
      </c>
      <c r="S66" s="61">
        <f t="shared" si="13"/>
        <v>455</v>
      </c>
      <c r="T66" s="62" t="s">
        <v>229</v>
      </c>
      <c r="U66" s="63">
        <f t="shared" si="0"/>
        <v>189.71000000000004</v>
      </c>
      <c r="V66" s="11">
        <f t="shared" si="1"/>
        <v>37942.000000000007</v>
      </c>
      <c r="W66" s="63">
        <f t="shared" si="14"/>
        <v>236.20000000000005</v>
      </c>
      <c r="X66" s="63">
        <f t="shared" si="2"/>
        <v>47240.000000000007</v>
      </c>
      <c r="Y66" s="49"/>
      <c r="Z66" s="13">
        <f t="shared" si="15"/>
        <v>138240</v>
      </c>
      <c r="AA66" s="13">
        <v>129600</v>
      </c>
      <c r="AB66" s="13">
        <f t="shared" si="16"/>
        <v>100298</v>
      </c>
      <c r="AC66" s="14">
        <f t="shared" si="17"/>
        <v>91000</v>
      </c>
    </row>
    <row r="67" spans="1:29" ht="15.95" customHeight="1" x14ac:dyDescent="0.25">
      <c r="A67" s="47">
        <v>65</v>
      </c>
      <c r="B67" s="48" t="s">
        <v>204</v>
      </c>
      <c r="C67" s="10" t="s">
        <v>20</v>
      </c>
      <c r="D67" s="49">
        <v>50</v>
      </c>
      <c r="E67" s="50">
        <v>2800</v>
      </c>
      <c r="F67" s="51">
        <v>0.35</v>
      </c>
      <c r="G67" s="52">
        <f t="shared" si="5"/>
        <v>979.99999999999989</v>
      </c>
      <c r="H67" s="53">
        <f t="shared" si="6"/>
        <v>1820</v>
      </c>
      <c r="I67" s="63">
        <v>3151</v>
      </c>
      <c r="J67" s="55">
        <v>0.53</v>
      </c>
      <c r="K67" s="56">
        <f>I67*J67</f>
        <v>1670.03</v>
      </c>
      <c r="L67" s="57">
        <f t="shared" ref="L67:L126" si="18">I67-K67</f>
        <v>1480.97</v>
      </c>
      <c r="M67" s="58">
        <f t="shared" ref="M67:M126" si="19">(L67-H67)*100/L67</f>
        <v>-22.892428610977941</v>
      </c>
      <c r="N67" s="49">
        <v>3670</v>
      </c>
      <c r="O67" s="59">
        <v>0.36</v>
      </c>
      <c r="P67" s="11">
        <f>N67*O67</f>
        <v>1321.2</v>
      </c>
      <c r="Q67" s="12">
        <f>N67-P67</f>
        <v>2348.8000000000002</v>
      </c>
      <c r="R67" s="60">
        <f t="shared" si="12"/>
        <v>22.51362397820164</v>
      </c>
      <c r="S67" s="61">
        <f t="shared" si="13"/>
        <v>1480.97</v>
      </c>
      <c r="T67" s="62" t="s">
        <v>222</v>
      </c>
      <c r="U67" s="63">
        <f t="shared" ref="U67:U126" si="20">Q67-L67</f>
        <v>867.83000000000015</v>
      </c>
      <c r="V67" s="11">
        <f t="shared" ref="V67:V126" si="21">U67*D67</f>
        <v>43391.500000000007</v>
      </c>
      <c r="W67" s="63">
        <f t="shared" ref="W67:W126" si="22">Q67-H67</f>
        <v>528.80000000000018</v>
      </c>
      <c r="X67" s="63">
        <f t="shared" ref="X67:X126" si="23">W67*D67</f>
        <v>26440.000000000007</v>
      </c>
      <c r="Y67" s="49"/>
      <c r="Z67" s="13">
        <f t="shared" si="15"/>
        <v>117440.00000000001</v>
      </c>
      <c r="AA67" s="13">
        <v>110100</v>
      </c>
      <c r="AB67" s="13">
        <f t="shared" ref="AB67:AB97" si="24">L67*D67</f>
        <v>74048.5</v>
      </c>
      <c r="AC67" s="14">
        <f t="shared" ref="AC67:AC97" si="25">H67*D67</f>
        <v>91000</v>
      </c>
    </row>
    <row r="68" spans="1:29" ht="15.95" customHeight="1" x14ac:dyDescent="0.25">
      <c r="A68" s="47">
        <v>66</v>
      </c>
      <c r="B68" s="48">
        <v>5655030</v>
      </c>
      <c r="C68" s="10" t="s">
        <v>21</v>
      </c>
      <c r="D68" s="49">
        <v>30</v>
      </c>
      <c r="E68" s="50">
        <v>3100</v>
      </c>
      <c r="F68" s="51">
        <v>0.35</v>
      </c>
      <c r="G68" s="52">
        <f t="shared" ref="G68" si="26">E68*F68</f>
        <v>1085</v>
      </c>
      <c r="H68" s="53">
        <f t="shared" ref="H68:H127" si="27">E68-G68</f>
        <v>2015</v>
      </c>
      <c r="I68" s="63">
        <v>3774</v>
      </c>
      <c r="J68" s="55">
        <v>0.53</v>
      </c>
      <c r="K68" s="56">
        <f t="shared" ref="K68:K127" si="28">I68*J68</f>
        <v>2000.22</v>
      </c>
      <c r="L68" s="57">
        <f t="shared" si="18"/>
        <v>1773.78</v>
      </c>
      <c r="M68" s="58">
        <f t="shared" si="19"/>
        <v>-13.599206214975929</v>
      </c>
      <c r="N68" s="49">
        <v>4455</v>
      </c>
      <c r="O68" s="59">
        <v>0.36</v>
      </c>
      <c r="P68" s="11">
        <f>N68*O68</f>
        <v>1603.8</v>
      </c>
      <c r="Q68" s="12">
        <f>N68-P68</f>
        <v>2851.2</v>
      </c>
      <c r="R68" s="60">
        <v>1</v>
      </c>
      <c r="S68" s="61">
        <f t="shared" ref="S68:S127" si="29">MIN(H68,L68,Q68)</f>
        <v>1773.78</v>
      </c>
      <c r="T68" s="62" t="s">
        <v>222</v>
      </c>
      <c r="U68" s="63">
        <f t="shared" si="20"/>
        <v>1077.4199999999998</v>
      </c>
      <c r="V68" s="11">
        <f t="shared" si="21"/>
        <v>32322.599999999995</v>
      </c>
      <c r="W68" s="63">
        <f t="shared" si="22"/>
        <v>836.19999999999982</v>
      </c>
      <c r="X68" s="63">
        <f t="shared" si="23"/>
        <v>25085.999999999993</v>
      </c>
      <c r="Y68" s="49"/>
      <c r="Z68" s="13">
        <f t="shared" si="15"/>
        <v>85536</v>
      </c>
      <c r="AA68" s="13">
        <v>80190</v>
      </c>
      <c r="AB68" s="13">
        <f t="shared" si="24"/>
        <v>53213.4</v>
      </c>
      <c r="AC68" s="14">
        <f t="shared" si="25"/>
        <v>60450</v>
      </c>
    </row>
    <row r="69" spans="1:29" ht="15.95" customHeight="1" x14ac:dyDescent="0.25">
      <c r="A69" s="47">
        <v>67</v>
      </c>
      <c r="B69" s="48">
        <v>6140071</v>
      </c>
      <c r="C69" s="10" t="s">
        <v>205</v>
      </c>
      <c r="D69" s="49">
        <v>120</v>
      </c>
      <c r="E69" s="50">
        <v>0</v>
      </c>
      <c r="F69" s="51"/>
      <c r="G69" s="52"/>
      <c r="H69" s="53">
        <f t="shared" si="27"/>
        <v>0</v>
      </c>
      <c r="I69" s="63">
        <v>162.5</v>
      </c>
      <c r="J69" s="55">
        <v>0.53</v>
      </c>
      <c r="K69" s="56">
        <f t="shared" si="28"/>
        <v>86.125</v>
      </c>
      <c r="L69" s="57">
        <f t="shared" si="18"/>
        <v>76.375</v>
      </c>
      <c r="M69" s="58">
        <f t="shared" si="19"/>
        <v>100</v>
      </c>
      <c r="N69" s="49">
        <v>175</v>
      </c>
      <c r="O69" s="59">
        <v>0.36</v>
      </c>
      <c r="P69" s="11">
        <f t="shared" ref="P69:P128" si="30">N69*O69</f>
        <v>63</v>
      </c>
      <c r="Q69" s="12">
        <f t="shared" ref="Q69:Q128" si="31">N69-P69</f>
        <v>112</v>
      </c>
      <c r="R69" s="60">
        <v>1</v>
      </c>
      <c r="S69" s="61">
        <v>76.38</v>
      </c>
      <c r="T69" s="62" t="s">
        <v>222</v>
      </c>
      <c r="U69" s="63">
        <f t="shared" si="20"/>
        <v>35.625</v>
      </c>
      <c r="V69" s="11">
        <f t="shared" si="21"/>
        <v>4275</v>
      </c>
      <c r="W69" s="63">
        <f t="shared" si="22"/>
        <v>112</v>
      </c>
      <c r="X69" s="63">
        <f t="shared" si="23"/>
        <v>13440</v>
      </c>
      <c r="Y69" s="49"/>
      <c r="Z69" s="13">
        <f t="shared" ref="Z69:Z132" si="32">Q69*D69</f>
        <v>13440</v>
      </c>
      <c r="AA69" s="13">
        <v>12600</v>
      </c>
      <c r="AB69" s="13">
        <f t="shared" si="24"/>
        <v>9165</v>
      </c>
      <c r="AC69" s="14">
        <f t="shared" si="25"/>
        <v>0</v>
      </c>
    </row>
    <row r="70" spans="1:29" ht="15.95" customHeight="1" x14ac:dyDescent="0.25">
      <c r="A70" s="47">
        <v>68</v>
      </c>
      <c r="B70" s="48">
        <v>6140057</v>
      </c>
      <c r="C70" s="10" t="s">
        <v>67</v>
      </c>
      <c r="D70" s="49">
        <v>20</v>
      </c>
      <c r="E70" s="50">
        <v>70</v>
      </c>
      <c r="F70" s="51">
        <v>0.35</v>
      </c>
      <c r="G70" s="52">
        <f t="shared" ref="G70:G71" si="33">E70*F70</f>
        <v>24.5</v>
      </c>
      <c r="H70" s="53">
        <f t="shared" si="27"/>
        <v>45.5</v>
      </c>
      <c r="I70" s="63">
        <v>108.4</v>
      </c>
      <c r="J70" s="55">
        <v>0.53</v>
      </c>
      <c r="K70" s="56">
        <f t="shared" si="28"/>
        <v>57.452000000000005</v>
      </c>
      <c r="L70" s="57">
        <f t="shared" si="18"/>
        <v>50.948</v>
      </c>
      <c r="M70" s="58">
        <f t="shared" si="19"/>
        <v>10.693255868728901</v>
      </c>
      <c r="N70" s="49">
        <v>110</v>
      </c>
      <c r="O70" s="59">
        <v>0.36</v>
      </c>
      <c r="P70" s="11">
        <f t="shared" si="30"/>
        <v>39.6</v>
      </c>
      <c r="Q70" s="12">
        <f t="shared" si="31"/>
        <v>70.400000000000006</v>
      </c>
      <c r="R70" s="60">
        <v>1</v>
      </c>
      <c r="S70" s="61">
        <f t="shared" si="29"/>
        <v>45.5</v>
      </c>
      <c r="T70" s="62" t="s">
        <v>229</v>
      </c>
      <c r="U70" s="63">
        <f t="shared" si="20"/>
        <v>19.452000000000005</v>
      </c>
      <c r="V70" s="11">
        <f t="shared" si="21"/>
        <v>389.04000000000008</v>
      </c>
      <c r="W70" s="63">
        <f t="shared" si="22"/>
        <v>24.900000000000006</v>
      </c>
      <c r="X70" s="63">
        <f t="shared" si="23"/>
        <v>498.00000000000011</v>
      </c>
      <c r="Y70" s="49"/>
      <c r="Z70" s="13">
        <f t="shared" si="32"/>
        <v>1408</v>
      </c>
      <c r="AA70" s="13">
        <v>1320</v>
      </c>
      <c r="AB70" s="13">
        <f t="shared" si="24"/>
        <v>1018.96</v>
      </c>
      <c r="AC70" s="14">
        <f t="shared" si="25"/>
        <v>910</v>
      </c>
    </row>
    <row r="71" spans="1:29" ht="15.95" customHeight="1" x14ac:dyDescent="0.25">
      <c r="A71" s="47">
        <v>69</v>
      </c>
      <c r="B71" s="48">
        <v>6140058</v>
      </c>
      <c r="C71" s="10" t="s">
        <v>68</v>
      </c>
      <c r="D71" s="49">
        <v>20</v>
      </c>
      <c r="E71" s="50">
        <v>90</v>
      </c>
      <c r="F71" s="51">
        <v>0.35</v>
      </c>
      <c r="G71" s="52">
        <f t="shared" si="33"/>
        <v>31.499999999999996</v>
      </c>
      <c r="H71" s="53">
        <f t="shared" si="27"/>
        <v>58.5</v>
      </c>
      <c r="I71" s="63">
        <v>142.80000000000001</v>
      </c>
      <c r="J71" s="55">
        <v>0.53</v>
      </c>
      <c r="K71" s="56">
        <f t="shared" si="28"/>
        <v>75.684000000000012</v>
      </c>
      <c r="L71" s="57">
        <f t="shared" si="18"/>
        <v>67.116</v>
      </c>
      <c r="M71" s="58">
        <f t="shared" si="19"/>
        <v>12.837475415698194</v>
      </c>
      <c r="N71" s="49">
        <v>140</v>
      </c>
      <c r="O71" s="59">
        <v>0.36</v>
      </c>
      <c r="P71" s="11">
        <f t="shared" si="30"/>
        <v>50.4</v>
      </c>
      <c r="Q71" s="12">
        <f t="shared" si="31"/>
        <v>89.6</v>
      </c>
      <c r="R71" s="60">
        <v>1</v>
      </c>
      <c r="S71" s="61">
        <f t="shared" si="29"/>
        <v>58.5</v>
      </c>
      <c r="T71" s="62" t="s">
        <v>229</v>
      </c>
      <c r="U71" s="63">
        <f t="shared" si="20"/>
        <v>22.483999999999995</v>
      </c>
      <c r="V71" s="11">
        <f t="shared" si="21"/>
        <v>449.67999999999989</v>
      </c>
      <c r="W71" s="63">
        <f t="shared" si="22"/>
        <v>31.099999999999994</v>
      </c>
      <c r="X71" s="63">
        <f t="shared" si="23"/>
        <v>621.99999999999989</v>
      </c>
      <c r="Y71" s="49"/>
      <c r="Z71" s="13">
        <f t="shared" si="32"/>
        <v>1792</v>
      </c>
      <c r="AA71" s="13">
        <v>1680</v>
      </c>
      <c r="AB71" s="13">
        <f t="shared" si="24"/>
        <v>1342.32</v>
      </c>
      <c r="AC71" s="14">
        <f t="shared" si="25"/>
        <v>1170</v>
      </c>
    </row>
    <row r="72" spans="1:29" ht="15.95" customHeight="1" x14ac:dyDescent="0.25">
      <c r="A72" s="47">
        <v>70</v>
      </c>
      <c r="B72" s="48" t="s">
        <v>193</v>
      </c>
      <c r="C72" s="10" t="s">
        <v>172</v>
      </c>
      <c r="D72" s="49">
        <v>800</v>
      </c>
      <c r="E72" s="50">
        <v>0</v>
      </c>
      <c r="F72" s="51"/>
      <c r="G72" s="52"/>
      <c r="H72" s="53">
        <f t="shared" si="27"/>
        <v>0</v>
      </c>
      <c r="I72" s="63">
        <v>21.13</v>
      </c>
      <c r="J72" s="55">
        <v>0.53</v>
      </c>
      <c r="K72" s="56">
        <f t="shared" si="28"/>
        <v>11.1989</v>
      </c>
      <c r="L72" s="57">
        <f t="shared" si="18"/>
        <v>9.9310999999999989</v>
      </c>
      <c r="M72" s="58">
        <f t="shared" si="19"/>
        <v>100</v>
      </c>
      <c r="N72" s="49">
        <v>22</v>
      </c>
      <c r="O72" s="59">
        <v>0.36</v>
      </c>
      <c r="P72" s="11">
        <f t="shared" si="30"/>
        <v>7.92</v>
      </c>
      <c r="Q72" s="12">
        <f t="shared" si="31"/>
        <v>14.08</v>
      </c>
      <c r="R72" s="60">
        <v>1</v>
      </c>
      <c r="S72" s="61">
        <v>9.93</v>
      </c>
      <c r="T72" s="62" t="s">
        <v>222</v>
      </c>
      <c r="U72" s="63">
        <f t="shared" si="20"/>
        <v>4.1489000000000011</v>
      </c>
      <c r="V72" s="11">
        <f t="shared" si="21"/>
        <v>3319.1200000000008</v>
      </c>
      <c r="W72" s="63">
        <f t="shared" si="22"/>
        <v>14.08</v>
      </c>
      <c r="X72" s="63">
        <f t="shared" si="23"/>
        <v>11264</v>
      </c>
      <c r="Y72" s="49"/>
      <c r="Z72" s="13">
        <f t="shared" si="32"/>
        <v>11264</v>
      </c>
      <c r="AA72" s="13">
        <v>10560</v>
      </c>
      <c r="AB72" s="13">
        <f t="shared" si="24"/>
        <v>7944.8799999999992</v>
      </c>
      <c r="AC72" s="14">
        <f t="shared" si="25"/>
        <v>0</v>
      </c>
    </row>
    <row r="73" spans="1:29" ht="15.95" customHeight="1" x14ac:dyDescent="0.25">
      <c r="A73" s="47">
        <v>71</v>
      </c>
      <c r="B73" s="48" t="s">
        <v>194</v>
      </c>
      <c r="C73" s="10" t="s">
        <v>69</v>
      </c>
      <c r="D73" s="49">
        <v>300</v>
      </c>
      <c r="E73" s="50">
        <v>80</v>
      </c>
      <c r="F73" s="51">
        <v>0.35</v>
      </c>
      <c r="G73" s="52">
        <f t="shared" ref="G73:G121" si="34">E73*F73</f>
        <v>28</v>
      </c>
      <c r="H73" s="53">
        <f t="shared" si="27"/>
        <v>52</v>
      </c>
      <c r="I73" s="63">
        <v>83.17</v>
      </c>
      <c r="J73" s="55">
        <v>0.53</v>
      </c>
      <c r="K73" s="56">
        <f t="shared" si="28"/>
        <v>44.080100000000002</v>
      </c>
      <c r="L73" s="57">
        <f t="shared" si="18"/>
        <v>39.0899</v>
      </c>
      <c r="M73" s="58">
        <f t="shared" si="19"/>
        <v>-33.026689758735635</v>
      </c>
      <c r="N73" s="49">
        <v>80</v>
      </c>
      <c r="O73" s="59">
        <v>0.36</v>
      </c>
      <c r="P73" s="11">
        <f t="shared" si="30"/>
        <v>28.799999999999997</v>
      </c>
      <c r="Q73" s="12">
        <f t="shared" si="31"/>
        <v>51.2</v>
      </c>
      <c r="R73" s="60">
        <v>1</v>
      </c>
      <c r="S73" s="61">
        <f t="shared" si="29"/>
        <v>39.0899</v>
      </c>
      <c r="T73" s="62" t="s">
        <v>222</v>
      </c>
      <c r="U73" s="63">
        <f t="shared" si="20"/>
        <v>12.110100000000003</v>
      </c>
      <c r="V73" s="11">
        <f t="shared" si="21"/>
        <v>3633.0300000000007</v>
      </c>
      <c r="W73" s="63">
        <f t="shared" si="22"/>
        <v>-0.79999999999999716</v>
      </c>
      <c r="X73" s="63">
        <f t="shared" si="23"/>
        <v>-239.99999999999915</v>
      </c>
      <c r="Y73" s="49"/>
      <c r="Z73" s="13">
        <f t="shared" si="32"/>
        <v>15360</v>
      </c>
      <c r="AA73" s="13">
        <v>14400</v>
      </c>
      <c r="AB73" s="13">
        <f t="shared" si="24"/>
        <v>11726.97</v>
      </c>
      <c r="AC73" s="14">
        <f t="shared" si="25"/>
        <v>15600</v>
      </c>
    </row>
    <row r="74" spans="1:29" ht="15.95" customHeight="1" x14ac:dyDescent="0.25">
      <c r="A74" s="47">
        <v>72</v>
      </c>
      <c r="B74" s="48" t="s">
        <v>195</v>
      </c>
      <c r="C74" s="10" t="s">
        <v>70</v>
      </c>
      <c r="D74" s="49">
        <v>50</v>
      </c>
      <c r="E74" s="50">
        <v>85</v>
      </c>
      <c r="F74" s="51">
        <v>0.35</v>
      </c>
      <c r="G74" s="52">
        <f t="shared" si="34"/>
        <v>29.749999999999996</v>
      </c>
      <c r="H74" s="53">
        <f t="shared" si="27"/>
        <v>55.25</v>
      </c>
      <c r="I74" s="63">
        <v>99.5</v>
      </c>
      <c r="J74" s="55">
        <v>0.53</v>
      </c>
      <c r="K74" s="56">
        <f t="shared" si="28"/>
        <v>52.734999999999999</v>
      </c>
      <c r="L74" s="57">
        <f t="shared" si="18"/>
        <v>46.765000000000001</v>
      </c>
      <c r="M74" s="58">
        <f t="shared" si="19"/>
        <v>-18.143911044584627</v>
      </c>
      <c r="N74" s="49">
        <v>100</v>
      </c>
      <c r="O74" s="59">
        <v>0.36</v>
      </c>
      <c r="P74" s="11">
        <f t="shared" si="30"/>
        <v>36</v>
      </c>
      <c r="Q74" s="12">
        <f t="shared" si="31"/>
        <v>64</v>
      </c>
      <c r="R74" s="60">
        <v>1</v>
      </c>
      <c r="S74" s="61">
        <f t="shared" si="29"/>
        <v>46.765000000000001</v>
      </c>
      <c r="T74" s="62" t="s">
        <v>222</v>
      </c>
      <c r="U74" s="63">
        <f t="shared" si="20"/>
        <v>17.234999999999999</v>
      </c>
      <c r="V74" s="11">
        <f t="shared" si="21"/>
        <v>861.75</v>
      </c>
      <c r="W74" s="63">
        <f t="shared" si="22"/>
        <v>8.75</v>
      </c>
      <c r="X74" s="63">
        <f t="shared" si="23"/>
        <v>437.5</v>
      </c>
      <c r="Y74" s="49"/>
      <c r="Z74" s="13">
        <f t="shared" si="32"/>
        <v>3200</v>
      </c>
      <c r="AA74" s="13">
        <v>3000</v>
      </c>
      <c r="AB74" s="13">
        <f t="shared" si="24"/>
        <v>2338.25</v>
      </c>
      <c r="AC74" s="14">
        <f t="shared" si="25"/>
        <v>2762.5</v>
      </c>
    </row>
    <row r="75" spans="1:29" ht="15.95" customHeight="1" x14ac:dyDescent="0.25">
      <c r="A75" s="47">
        <v>73</v>
      </c>
      <c r="B75" s="48" t="s">
        <v>183</v>
      </c>
      <c r="C75" s="10" t="s">
        <v>71</v>
      </c>
      <c r="D75" s="49">
        <v>200</v>
      </c>
      <c r="E75" s="50">
        <v>72</v>
      </c>
      <c r="F75" s="51">
        <v>0.35</v>
      </c>
      <c r="G75" s="52">
        <f t="shared" si="34"/>
        <v>25.2</v>
      </c>
      <c r="H75" s="53">
        <f t="shared" si="27"/>
        <v>46.8</v>
      </c>
      <c r="I75" s="63">
        <v>96.1</v>
      </c>
      <c r="J75" s="55">
        <v>0.53</v>
      </c>
      <c r="K75" s="56">
        <f t="shared" si="28"/>
        <v>50.933</v>
      </c>
      <c r="L75" s="57">
        <f t="shared" si="18"/>
        <v>45.166999999999994</v>
      </c>
      <c r="M75" s="58">
        <f t="shared" si="19"/>
        <v>-3.6154714725352646</v>
      </c>
      <c r="N75" s="49">
        <v>100</v>
      </c>
      <c r="O75" s="59">
        <v>0.36</v>
      </c>
      <c r="P75" s="11">
        <f t="shared" si="30"/>
        <v>36</v>
      </c>
      <c r="Q75" s="12">
        <f t="shared" si="31"/>
        <v>64</v>
      </c>
      <c r="R75" s="60">
        <v>1</v>
      </c>
      <c r="S75" s="61">
        <f t="shared" si="29"/>
        <v>45.166999999999994</v>
      </c>
      <c r="T75" s="62" t="s">
        <v>222</v>
      </c>
      <c r="U75" s="63">
        <f t="shared" si="20"/>
        <v>18.833000000000006</v>
      </c>
      <c r="V75" s="11">
        <f t="shared" si="21"/>
        <v>3766.6000000000013</v>
      </c>
      <c r="W75" s="63">
        <f t="shared" si="22"/>
        <v>17.200000000000003</v>
      </c>
      <c r="X75" s="63">
        <f t="shared" si="23"/>
        <v>3440.0000000000005</v>
      </c>
      <c r="Y75" s="49"/>
      <c r="Z75" s="13">
        <f t="shared" si="32"/>
        <v>12800</v>
      </c>
      <c r="AA75" s="13">
        <v>12000</v>
      </c>
      <c r="AB75" s="13">
        <f t="shared" si="24"/>
        <v>9033.4</v>
      </c>
      <c r="AC75" s="14">
        <f t="shared" si="25"/>
        <v>9360</v>
      </c>
    </row>
    <row r="76" spans="1:29" ht="15.95" customHeight="1" x14ac:dyDescent="0.25">
      <c r="A76" s="47">
        <v>74</v>
      </c>
      <c r="B76" s="48" t="s">
        <v>184</v>
      </c>
      <c r="C76" s="10" t="s">
        <v>72</v>
      </c>
      <c r="D76" s="49">
        <v>100</v>
      </c>
      <c r="E76" s="50">
        <v>78</v>
      </c>
      <c r="F76" s="51">
        <v>0.35</v>
      </c>
      <c r="G76" s="52">
        <f t="shared" si="34"/>
        <v>27.299999999999997</v>
      </c>
      <c r="H76" s="53">
        <f t="shared" si="27"/>
        <v>50.7</v>
      </c>
      <c r="I76" s="63">
        <v>99.5</v>
      </c>
      <c r="J76" s="55">
        <v>0.53</v>
      </c>
      <c r="K76" s="56">
        <f t="shared" si="28"/>
        <v>52.734999999999999</v>
      </c>
      <c r="L76" s="57">
        <f t="shared" si="18"/>
        <v>46.765000000000001</v>
      </c>
      <c r="M76" s="58">
        <f t="shared" si="19"/>
        <v>-8.414412487971779</v>
      </c>
      <c r="N76" s="49">
        <v>100</v>
      </c>
      <c r="O76" s="59">
        <v>0.36</v>
      </c>
      <c r="P76" s="11">
        <f t="shared" si="30"/>
        <v>36</v>
      </c>
      <c r="Q76" s="12">
        <f t="shared" si="31"/>
        <v>64</v>
      </c>
      <c r="R76" s="60">
        <v>1</v>
      </c>
      <c r="S76" s="61">
        <f t="shared" si="29"/>
        <v>46.765000000000001</v>
      </c>
      <c r="T76" s="62" t="s">
        <v>222</v>
      </c>
      <c r="U76" s="63">
        <f t="shared" si="20"/>
        <v>17.234999999999999</v>
      </c>
      <c r="V76" s="11">
        <f t="shared" si="21"/>
        <v>1723.5</v>
      </c>
      <c r="W76" s="63">
        <f t="shared" si="22"/>
        <v>13.299999999999997</v>
      </c>
      <c r="X76" s="63">
        <f t="shared" si="23"/>
        <v>1329.9999999999998</v>
      </c>
      <c r="Y76" s="49"/>
      <c r="Z76" s="13">
        <f t="shared" si="32"/>
        <v>6400</v>
      </c>
      <c r="AA76" s="13">
        <v>6000</v>
      </c>
      <c r="AB76" s="13">
        <f t="shared" si="24"/>
        <v>4676.5</v>
      </c>
      <c r="AC76" s="14">
        <f t="shared" si="25"/>
        <v>5070</v>
      </c>
    </row>
    <row r="77" spans="1:29" ht="15.95" customHeight="1" x14ac:dyDescent="0.25">
      <c r="A77" s="47">
        <v>75</v>
      </c>
      <c r="B77" s="48" t="s">
        <v>187</v>
      </c>
      <c r="C77" s="10" t="s">
        <v>73</v>
      </c>
      <c r="D77" s="49">
        <v>50</v>
      </c>
      <c r="E77" s="50">
        <v>345</v>
      </c>
      <c r="F77" s="51">
        <v>0.35</v>
      </c>
      <c r="G77" s="52">
        <f t="shared" si="34"/>
        <v>120.74999999999999</v>
      </c>
      <c r="H77" s="53">
        <f t="shared" si="27"/>
        <v>224.25</v>
      </c>
      <c r="I77" s="63">
        <v>353.16</v>
      </c>
      <c r="J77" s="55">
        <v>0.53</v>
      </c>
      <c r="K77" s="56">
        <f t="shared" si="28"/>
        <v>187.17480000000003</v>
      </c>
      <c r="L77" s="57">
        <f t="shared" si="18"/>
        <v>165.98519999999999</v>
      </c>
      <c r="M77" s="58">
        <f t="shared" si="19"/>
        <v>-35.102406720599191</v>
      </c>
      <c r="N77" s="49">
        <v>355</v>
      </c>
      <c r="O77" s="59">
        <v>0.36</v>
      </c>
      <c r="P77" s="11">
        <f t="shared" si="30"/>
        <v>127.8</v>
      </c>
      <c r="Q77" s="12">
        <f t="shared" si="31"/>
        <v>227.2</v>
      </c>
      <c r="R77" s="60">
        <v>1</v>
      </c>
      <c r="S77" s="61">
        <f t="shared" si="29"/>
        <v>165.98519999999999</v>
      </c>
      <c r="T77" s="62" t="s">
        <v>222</v>
      </c>
      <c r="U77" s="63">
        <f t="shared" si="20"/>
        <v>61.214799999999997</v>
      </c>
      <c r="V77" s="11">
        <f t="shared" si="21"/>
        <v>3060.74</v>
      </c>
      <c r="W77" s="63">
        <f t="shared" si="22"/>
        <v>2.9499999999999886</v>
      </c>
      <c r="X77" s="63">
        <f t="shared" si="23"/>
        <v>147.49999999999943</v>
      </c>
      <c r="Y77" s="49"/>
      <c r="Z77" s="13">
        <f t="shared" si="32"/>
        <v>11360</v>
      </c>
      <c r="AA77" s="13">
        <v>10650</v>
      </c>
      <c r="AB77" s="13">
        <f t="shared" si="24"/>
        <v>8299.26</v>
      </c>
      <c r="AC77" s="14">
        <f t="shared" si="25"/>
        <v>11212.5</v>
      </c>
    </row>
    <row r="78" spans="1:29" ht="15.95" customHeight="1" x14ac:dyDescent="0.25">
      <c r="A78" s="47">
        <v>76</v>
      </c>
      <c r="B78" s="48" t="s">
        <v>185</v>
      </c>
      <c r="C78" s="10" t="s">
        <v>74</v>
      </c>
      <c r="D78" s="49">
        <v>50</v>
      </c>
      <c r="E78" s="50">
        <v>100</v>
      </c>
      <c r="F78" s="51">
        <v>0.35</v>
      </c>
      <c r="G78" s="52">
        <f t="shared" si="34"/>
        <v>35</v>
      </c>
      <c r="H78" s="53">
        <f t="shared" si="27"/>
        <v>65</v>
      </c>
      <c r="I78" s="63">
        <v>109.5</v>
      </c>
      <c r="J78" s="55">
        <v>0.53</v>
      </c>
      <c r="K78" s="56">
        <f t="shared" si="28"/>
        <v>58.035000000000004</v>
      </c>
      <c r="L78" s="57">
        <f t="shared" si="18"/>
        <v>51.464999999999996</v>
      </c>
      <c r="M78" s="58">
        <f t="shared" si="19"/>
        <v>-26.299426794909174</v>
      </c>
      <c r="N78" s="49">
        <v>110</v>
      </c>
      <c r="O78" s="59">
        <v>0.36</v>
      </c>
      <c r="P78" s="11">
        <f t="shared" si="30"/>
        <v>39.6</v>
      </c>
      <c r="Q78" s="12">
        <f t="shared" si="31"/>
        <v>70.400000000000006</v>
      </c>
      <c r="R78" s="60">
        <v>1</v>
      </c>
      <c r="S78" s="61">
        <f t="shared" si="29"/>
        <v>51.464999999999996</v>
      </c>
      <c r="T78" s="62" t="s">
        <v>222</v>
      </c>
      <c r="U78" s="63">
        <f t="shared" si="20"/>
        <v>18.935000000000009</v>
      </c>
      <c r="V78" s="11">
        <f t="shared" si="21"/>
        <v>946.75000000000045</v>
      </c>
      <c r="W78" s="63">
        <f t="shared" si="22"/>
        <v>5.4000000000000057</v>
      </c>
      <c r="X78" s="63">
        <f t="shared" si="23"/>
        <v>270.00000000000028</v>
      </c>
      <c r="Y78" s="49"/>
      <c r="Z78" s="13">
        <f t="shared" si="32"/>
        <v>3520.0000000000005</v>
      </c>
      <c r="AA78" s="13">
        <v>3300</v>
      </c>
      <c r="AB78" s="13">
        <f t="shared" si="24"/>
        <v>2573.25</v>
      </c>
      <c r="AC78" s="14">
        <f t="shared" si="25"/>
        <v>3250</v>
      </c>
    </row>
    <row r="79" spans="1:29" ht="15.95" customHeight="1" x14ac:dyDescent="0.25">
      <c r="A79" s="47">
        <v>77</v>
      </c>
      <c r="B79" s="48">
        <v>4980021</v>
      </c>
      <c r="C79" s="10" t="s">
        <v>75</v>
      </c>
      <c r="D79" s="49">
        <v>22</v>
      </c>
      <c r="E79" s="50">
        <v>142</v>
      </c>
      <c r="F79" s="51">
        <v>0.35</v>
      </c>
      <c r="G79" s="52">
        <f t="shared" si="34"/>
        <v>49.699999999999996</v>
      </c>
      <c r="H79" s="53">
        <f t="shared" si="27"/>
        <v>92.300000000000011</v>
      </c>
      <c r="I79" s="63">
        <v>174.1</v>
      </c>
      <c r="J79" s="55">
        <v>0.53</v>
      </c>
      <c r="K79" s="56">
        <f t="shared" si="28"/>
        <v>92.272999999999996</v>
      </c>
      <c r="L79" s="57">
        <f t="shared" si="18"/>
        <v>81.826999999999998</v>
      </c>
      <c r="M79" s="58">
        <f t="shared" si="19"/>
        <v>-12.798953890525148</v>
      </c>
      <c r="N79" s="49">
        <v>175</v>
      </c>
      <c r="O79" s="59">
        <v>0.36</v>
      </c>
      <c r="P79" s="11">
        <f t="shared" si="30"/>
        <v>63</v>
      </c>
      <c r="Q79" s="12">
        <f t="shared" si="31"/>
        <v>112</v>
      </c>
      <c r="R79" s="60">
        <v>1</v>
      </c>
      <c r="S79" s="61">
        <f t="shared" si="29"/>
        <v>81.826999999999998</v>
      </c>
      <c r="T79" s="62" t="s">
        <v>222</v>
      </c>
      <c r="U79" s="63">
        <f t="shared" si="20"/>
        <v>30.173000000000002</v>
      </c>
      <c r="V79" s="11">
        <f t="shared" si="21"/>
        <v>663.80600000000004</v>
      </c>
      <c r="W79" s="63">
        <f t="shared" si="22"/>
        <v>19.699999999999989</v>
      </c>
      <c r="X79" s="63">
        <f t="shared" si="23"/>
        <v>433.39999999999975</v>
      </c>
      <c r="Y79" s="49"/>
      <c r="Z79" s="13">
        <f t="shared" si="32"/>
        <v>2464</v>
      </c>
      <c r="AA79" s="13">
        <v>2310</v>
      </c>
      <c r="AB79" s="13">
        <f t="shared" si="24"/>
        <v>1800.194</v>
      </c>
      <c r="AC79" s="14">
        <f t="shared" si="25"/>
        <v>2030.6000000000004</v>
      </c>
    </row>
    <row r="80" spans="1:29" ht="15.95" customHeight="1" x14ac:dyDescent="0.25">
      <c r="A80" s="47">
        <v>78</v>
      </c>
      <c r="B80" s="48">
        <v>1500029</v>
      </c>
      <c r="C80" s="10" t="s">
        <v>76</v>
      </c>
      <c r="D80" s="49">
        <v>20</v>
      </c>
      <c r="E80" s="50">
        <v>660</v>
      </c>
      <c r="F80" s="51">
        <v>0.35</v>
      </c>
      <c r="G80" s="52">
        <f t="shared" si="34"/>
        <v>230.99999999999997</v>
      </c>
      <c r="H80" s="53">
        <f t="shared" si="27"/>
        <v>429</v>
      </c>
      <c r="I80" s="63">
        <v>691.5</v>
      </c>
      <c r="J80" s="55">
        <v>0.53</v>
      </c>
      <c r="K80" s="56">
        <f t="shared" si="28"/>
        <v>366.495</v>
      </c>
      <c r="L80" s="57">
        <f t="shared" si="18"/>
        <v>325.005</v>
      </c>
      <c r="M80" s="58">
        <f t="shared" si="19"/>
        <v>-31.997969262011352</v>
      </c>
      <c r="N80" s="49">
        <v>865</v>
      </c>
      <c r="O80" s="59">
        <v>0.36</v>
      </c>
      <c r="P80" s="11">
        <f t="shared" si="30"/>
        <v>311.39999999999998</v>
      </c>
      <c r="Q80" s="12">
        <f t="shared" si="31"/>
        <v>553.6</v>
      </c>
      <c r="R80" s="60">
        <v>1</v>
      </c>
      <c r="S80" s="61">
        <f t="shared" si="29"/>
        <v>325.005</v>
      </c>
      <c r="T80" s="62" t="s">
        <v>222</v>
      </c>
      <c r="U80" s="63">
        <f t="shared" si="20"/>
        <v>228.59500000000003</v>
      </c>
      <c r="V80" s="11">
        <f t="shared" si="21"/>
        <v>4571.9000000000005</v>
      </c>
      <c r="W80" s="63">
        <f t="shared" si="22"/>
        <v>124.60000000000002</v>
      </c>
      <c r="X80" s="63">
        <f t="shared" si="23"/>
        <v>2492.0000000000005</v>
      </c>
      <c r="Y80" s="49"/>
      <c r="Z80" s="13">
        <f t="shared" si="32"/>
        <v>11072</v>
      </c>
      <c r="AA80" s="13">
        <v>10380</v>
      </c>
      <c r="AB80" s="13">
        <f t="shared" si="24"/>
        <v>6500.1</v>
      </c>
      <c r="AC80" s="14">
        <f t="shared" si="25"/>
        <v>8580</v>
      </c>
    </row>
    <row r="81" spans="1:29" ht="15.95" customHeight="1" x14ac:dyDescent="0.25">
      <c r="A81" s="47">
        <v>79</v>
      </c>
      <c r="B81" s="48">
        <v>1500030</v>
      </c>
      <c r="C81" s="10" t="s">
        <v>77</v>
      </c>
      <c r="D81" s="49">
        <v>10</v>
      </c>
      <c r="E81" s="50">
        <v>1120</v>
      </c>
      <c r="F81" s="51">
        <v>0.35</v>
      </c>
      <c r="G81" s="52">
        <f t="shared" si="34"/>
        <v>392</v>
      </c>
      <c r="H81" s="53">
        <f t="shared" si="27"/>
        <v>728</v>
      </c>
      <c r="I81" s="63">
        <v>1302</v>
      </c>
      <c r="J81" s="55">
        <v>0.53</v>
      </c>
      <c r="K81" s="56">
        <f t="shared" si="28"/>
        <v>690.06000000000006</v>
      </c>
      <c r="L81" s="57">
        <f t="shared" si="18"/>
        <v>611.93999999999994</v>
      </c>
      <c r="M81" s="58">
        <f t="shared" si="19"/>
        <v>-18.965911690688639</v>
      </c>
      <c r="N81" s="49">
        <v>1460</v>
      </c>
      <c r="O81" s="59">
        <v>0.36</v>
      </c>
      <c r="P81" s="11">
        <f t="shared" si="30"/>
        <v>525.6</v>
      </c>
      <c r="Q81" s="12">
        <f t="shared" si="31"/>
        <v>934.4</v>
      </c>
      <c r="R81" s="60">
        <v>1</v>
      </c>
      <c r="S81" s="61">
        <f t="shared" si="29"/>
        <v>611.93999999999994</v>
      </c>
      <c r="T81" s="62" t="s">
        <v>222</v>
      </c>
      <c r="U81" s="63">
        <f t="shared" si="20"/>
        <v>322.46000000000004</v>
      </c>
      <c r="V81" s="11">
        <f t="shared" si="21"/>
        <v>3224.6000000000004</v>
      </c>
      <c r="W81" s="63">
        <f t="shared" si="22"/>
        <v>206.39999999999998</v>
      </c>
      <c r="X81" s="63">
        <f t="shared" si="23"/>
        <v>2064</v>
      </c>
      <c r="Y81" s="49"/>
      <c r="Z81" s="13">
        <f t="shared" si="32"/>
        <v>9344</v>
      </c>
      <c r="AA81" s="13">
        <v>8760</v>
      </c>
      <c r="AB81" s="13">
        <f t="shared" si="24"/>
        <v>6119.4</v>
      </c>
      <c r="AC81" s="14">
        <f t="shared" si="25"/>
        <v>7280</v>
      </c>
    </row>
    <row r="82" spans="1:29" ht="15.95" customHeight="1" x14ac:dyDescent="0.25">
      <c r="A82" s="47">
        <v>80</v>
      </c>
      <c r="B82" s="48">
        <v>1501021</v>
      </c>
      <c r="C82" s="10" t="s">
        <v>78</v>
      </c>
      <c r="D82" s="49">
        <v>120</v>
      </c>
      <c r="E82" s="50">
        <v>370</v>
      </c>
      <c r="F82" s="51">
        <v>0.35</v>
      </c>
      <c r="G82" s="52">
        <f t="shared" si="34"/>
        <v>129.5</v>
      </c>
      <c r="H82" s="53">
        <f t="shared" si="27"/>
        <v>240.5</v>
      </c>
      <c r="I82" s="63">
        <v>408</v>
      </c>
      <c r="J82" s="55">
        <v>0.53</v>
      </c>
      <c r="K82" s="56">
        <f t="shared" si="28"/>
        <v>216.24</v>
      </c>
      <c r="L82" s="57">
        <f t="shared" si="18"/>
        <v>191.76</v>
      </c>
      <c r="M82" s="58">
        <f t="shared" si="19"/>
        <v>-25.417188151856493</v>
      </c>
      <c r="N82" s="49">
        <v>410</v>
      </c>
      <c r="O82" s="59">
        <v>0.36</v>
      </c>
      <c r="P82" s="11">
        <f t="shared" si="30"/>
        <v>147.6</v>
      </c>
      <c r="Q82" s="12">
        <f t="shared" si="31"/>
        <v>262.39999999999998</v>
      </c>
      <c r="R82" s="60">
        <v>1</v>
      </c>
      <c r="S82" s="61">
        <f t="shared" si="29"/>
        <v>191.76</v>
      </c>
      <c r="T82" s="62" t="s">
        <v>222</v>
      </c>
      <c r="U82" s="63">
        <f t="shared" si="20"/>
        <v>70.639999999999986</v>
      </c>
      <c r="V82" s="11">
        <f t="shared" si="21"/>
        <v>8476.7999999999993</v>
      </c>
      <c r="W82" s="63">
        <f t="shared" si="22"/>
        <v>21.899999999999977</v>
      </c>
      <c r="X82" s="63">
        <f t="shared" si="23"/>
        <v>2627.9999999999973</v>
      </c>
      <c r="Y82" s="49"/>
      <c r="Z82" s="13">
        <f t="shared" si="32"/>
        <v>31487.999999999996</v>
      </c>
      <c r="AA82" s="13">
        <v>29520</v>
      </c>
      <c r="AB82" s="13">
        <f t="shared" si="24"/>
        <v>23011.199999999997</v>
      </c>
      <c r="AC82" s="14">
        <f t="shared" si="25"/>
        <v>28860</v>
      </c>
    </row>
    <row r="83" spans="1:29" ht="15.95" customHeight="1" x14ac:dyDescent="0.25">
      <c r="A83" s="47">
        <v>81</v>
      </c>
      <c r="B83" s="48">
        <v>1501024</v>
      </c>
      <c r="C83" s="10" t="s">
        <v>79</v>
      </c>
      <c r="D83" s="49">
        <v>10</v>
      </c>
      <c r="E83" s="50">
        <v>425</v>
      </c>
      <c r="F83" s="51">
        <v>0.35</v>
      </c>
      <c r="G83" s="52">
        <f t="shared" si="34"/>
        <v>148.75</v>
      </c>
      <c r="H83" s="53">
        <f t="shared" si="27"/>
        <v>276.25</v>
      </c>
      <c r="I83" s="63">
        <v>447.8</v>
      </c>
      <c r="J83" s="55">
        <v>0.53</v>
      </c>
      <c r="K83" s="56">
        <f t="shared" si="28"/>
        <v>237.33400000000003</v>
      </c>
      <c r="L83" s="57">
        <f t="shared" si="18"/>
        <v>210.46599999999998</v>
      </c>
      <c r="M83" s="58">
        <f t="shared" si="19"/>
        <v>-31.256354945691957</v>
      </c>
      <c r="N83" s="49">
        <v>450</v>
      </c>
      <c r="O83" s="59">
        <v>0.36</v>
      </c>
      <c r="P83" s="11">
        <f t="shared" si="30"/>
        <v>162</v>
      </c>
      <c r="Q83" s="12">
        <f t="shared" si="31"/>
        <v>288</v>
      </c>
      <c r="R83" s="60">
        <v>1</v>
      </c>
      <c r="S83" s="61">
        <f t="shared" si="29"/>
        <v>210.46599999999998</v>
      </c>
      <c r="T83" s="62" t="s">
        <v>222</v>
      </c>
      <c r="U83" s="63">
        <f t="shared" si="20"/>
        <v>77.53400000000002</v>
      </c>
      <c r="V83" s="11">
        <f t="shared" si="21"/>
        <v>775.34000000000015</v>
      </c>
      <c r="W83" s="63">
        <f t="shared" si="22"/>
        <v>11.75</v>
      </c>
      <c r="X83" s="63">
        <f t="shared" si="23"/>
        <v>117.5</v>
      </c>
      <c r="Y83" s="49"/>
      <c r="Z83" s="13">
        <f t="shared" si="32"/>
        <v>2880</v>
      </c>
      <c r="AA83" s="13">
        <v>2700</v>
      </c>
      <c r="AB83" s="13">
        <f t="shared" si="24"/>
        <v>2104.66</v>
      </c>
      <c r="AC83" s="14">
        <f t="shared" si="25"/>
        <v>2762.5</v>
      </c>
    </row>
    <row r="84" spans="1:29" ht="15.95" customHeight="1" x14ac:dyDescent="0.25">
      <c r="A84" s="47">
        <v>82</v>
      </c>
      <c r="B84" s="48">
        <v>6140065</v>
      </c>
      <c r="C84" s="10" t="s">
        <v>80</v>
      </c>
      <c r="D84" s="49">
        <v>100</v>
      </c>
      <c r="E84" s="50">
        <v>95</v>
      </c>
      <c r="F84" s="51">
        <v>0.35</v>
      </c>
      <c r="G84" s="52">
        <f t="shared" si="34"/>
        <v>33.25</v>
      </c>
      <c r="H84" s="53">
        <f t="shared" si="27"/>
        <v>61.75</v>
      </c>
      <c r="I84" s="63">
        <v>142.80000000000001</v>
      </c>
      <c r="J84" s="55">
        <v>0.53</v>
      </c>
      <c r="K84" s="56">
        <f t="shared" si="28"/>
        <v>75.684000000000012</v>
      </c>
      <c r="L84" s="57">
        <f t="shared" si="18"/>
        <v>67.116</v>
      </c>
      <c r="M84" s="58">
        <f t="shared" si="19"/>
        <v>7.9951129387925368</v>
      </c>
      <c r="N84" s="49">
        <v>145</v>
      </c>
      <c r="O84" s="59">
        <v>0.36</v>
      </c>
      <c r="P84" s="11">
        <f t="shared" si="30"/>
        <v>52.199999999999996</v>
      </c>
      <c r="Q84" s="12">
        <f t="shared" si="31"/>
        <v>92.800000000000011</v>
      </c>
      <c r="R84" s="60">
        <v>1</v>
      </c>
      <c r="S84" s="61">
        <f t="shared" si="29"/>
        <v>61.75</v>
      </c>
      <c r="T84" s="62" t="s">
        <v>229</v>
      </c>
      <c r="U84" s="63">
        <f t="shared" si="20"/>
        <v>25.684000000000012</v>
      </c>
      <c r="V84" s="11">
        <f t="shared" si="21"/>
        <v>2568.400000000001</v>
      </c>
      <c r="W84" s="63">
        <f t="shared" si="22"/>
        <v>31.050000000000011</v>
      </c>
      <c r="X84" s="63">
        <f t="shared" si="23"/>
        <v>3105.0000000000009</v>
      </c>
      <c r="Y84" s="49"/>
      <c r="Z84" s="13">
        <f t="shared" si="32"/>
        <v>9280.0000000000018</v>
      </c>
      <c r="AA84" s="13">
        <v>8700</v>
      </c>
      <c r="AB84" s="13">
        <f t="shared" si="24"/>
        <v>6711.6</v>
      </c>
      <c r="AC84" s="14">
        <f t="shared" si="25"/>
        <v>6175</v>
      </c>
    </row>
    <row r="85" spans="1:29" ht="15.95" customHeight="1" x14ac:dyDescent="0.25">
      <c r="A85" s="47">
        <v>83</v>
      </c>
      <c r="B85" s="48">
        <v>6140071</v>
      </c>
      <c r="C85" s="10" t="s">
        <v>81</v>
      </c>
      <c r="D85" s="49">
        <v>190</v>
      </c>
      <c r="E85" s="50">
        <v>120</v>
      </c>
      <c r="F85" s="51">
        <v>0.35</v>
      </c>
      <c r="G85" s="52">
        <f t="shared" si="34"/>
        <v>42</v>
      </c>
      <c r="H85" s="53">
        <f t="shared" si="27"/>
        <v>78</v>
      </c>
      <c r="I85" s="63">
        <v>162.5</v>
      </c>
      <c r="J85" s="55">
        <v>0.53</v>
      </c>
      <c r="K85" s="56">
        <f t="shared" si="28"/>
        <v>86.125</v>
      </c>
      <c r="L85" s="57">
        <f t="shared" si="18"/>
        <v>76.375</v>
      </c>
      <c r="M85" s="58">
        <f t="shared" si="19"/>
        <v>-2.1276595744680851</v>
      </c>
      <c r="N85" s="49">
        <v>165</v>
      </c>
      <c r="O85" s="59">
        <v>0.36</v>
      </c>
      <c r="P85" s="11">
        <f t="shared" si="30"/>
        <v>59.4</v>
      </c>
      <c r="Q85" s="12">
        <f t="shared" si="31"/>
        <v>105.6</v>
      </c>
      <c r="R85" s="60">
        <v>1</v>
      </c>
      <c r="S85" s="61">
        <f t="shared" si="29"/>
        <v>76.375</v>
      </c>
      <c r="T85" s="62" t="s">
        <v>222</v>
      </c>
      <c r="U85" s="63">
        <f t="shared" si="20"/>
        <v>29.224999999999994</v>
      </c>
      <c r="V85" s="11">
        <f t="shared" si="21"/>
        <v>5552.7499999999991</v>
      </c>
      <c r="W85" s="63">
        <f t="shared" si="22"/>
        <v>27.599999999999994</v>
      </c>
      <c r="X85" s="63">
        <f t="shared" si="23"/>
        <v>5243.9999999999991</v>
      </c>
      <c r="Y85" s="49"/>
      <c r="Z85" s="13">
        <f t="shared" si="32"/>
        <v>20064</v>
      </c>
      <c r="AA85" s="13">
        <v>18810</v>
      </c>
      <c r="AB85" s="13">
        <f t="shared" si="24"/>
        <v>14511.25</v>
      </c>
      <c r="AC85" s="14">
        <f t="shared" si="25"/>
        <v>14820</v>
      </c>
    </row>
    <row r="86" spans="1:29" ht="15.95" customHeight="1" x14ac:dyDescent="0.25">
      <c r="A86" s="47">
        <v>84</v>
      </c>
      <c r="B86" s="48">
        <v>3021029</v>
      </c>
      <c r="C86" s="10" t="s">
        <v>82</v>
      </c>
      <c r="D86" s="49">
        <v>106</v>
      </c>
      <c r="E86" s="50">
        <v>1800</v>
      </c>
      <c r="F86" s="51">
        <v>0.35</v>
      </c>
      <c r="G86" s="52">
        <f t="shared" si="34"/>
        <v>630</v>
      </c>
      <c r="H86" s="53">
        <f t="shared" si="27"/>
        <v>1170</v>
      </c>
      <c r="I86" s="63">
        <v>2617</v>
      </c>
      <c r="J86" s="55">
        <v>0.53</v>
      </c>
      <c r="K86" s="56">
        <f t="shared" si="28"/>
        <v>1387.01</v>
      </c>
      <c r="L86" s="57">
        <f t="shared" si="18"/>
        <v>1229.99</v>
      </c>
      <c r="M86" s="58">
        <f t="shared" si="19"/>
        <v>4.8772754250034565</v>
      </c>
      <c r="N86" s="49">
        <v>2520</v>
      </c>
      <c r="O86" s="59">
        <v>0.36</v>
      </c>
      <c r="P86" s="11">
        <f t="shared" si="30"/>
        <v>907.19999999999993</v>
      </c>
      <c r="Q86" s="12">
        <f t="shared" si="31"/>
        <v>1612.8000000000002</v>
      </c>
      <c r="R86" s="60">
        <v>1</v>
      </c>
      <c r="S86" s="61">
        <f t="shared" si="29"/>
        <v>1170</v>
      </c>
      <c r="T86" s="62" t="s">
        <v>222</v>
      </c>
      <c r="U86" s="63">
        <f t="shared" si="20"/>
        <v>382.81000000000017</v>
      </c>
      <c r="V86" s="11">
        <f t="shared" si="21"/>
        <v>40577.860000000015</v>
      </c>
      <c r="W86" s="63">
        <f t="shared" si="22"/>
        <v>442.80000000000018</v>
      </c>
      <c r="X86" s="63">
        <f t="shared" si="23"/>
        <v>46936.800000000017</v>
      </c>
      <c r="Y86" s="49"/>
      <c r="Z86" s="13">
        <f t="shared" si="32"/>
        <v>170956.80000000002</v>
      </c>
      <c r="AA86" s="13">
        <v>160272</v>
      </c>
      <c r="AB86" s="13">
        <f t="shared" si="24"/>
        <v>130378.94</v>
      </c>
      <c r="AC86" s="14">
        <f t="shared" si="25"/>
        <v>124020</v>
      </c>
    </row>
    <row r="87" spans="1:29" ht="15.95" customHeight="1" x14ac:dyDescent="0.25">
      <c r="A87" s="47">
        <v>85</v>
      </c>
      <c r="B87" s="48">
        <v>3021024</v>
      </c>
      <c r="C87" s="10" t="s">
        <v>83</v>
      </c>
      <c r="D87" s="49">
        <v>10</v>
      </c>
      <c r="E87" s="50">
        <v>1400</v>
      </c>
      <c r="F87" s="51">
        <v>0.35</v>
      </c>
      <c r="G87" s="52">
        <f t="shared" si="34"/>
        <v>489.99999999999994</v>
      </c>
      <c r="H87" s="53">
        <f t="shared" si="27"/>
        <v>910</v>
      </c>
      <c r="I87" s="63">
        <v>2088.5</v>
      </c>
      <c r="J87" s="55">
        <v>0.53</v>
      </c>
      <c r="K87" s="56">
        <f t="shared" si="28"/>
        <v>1106.905</v>
      </c>
      <c r="L87" s="57">
        <f t="shared" si="18"/>
        <v>981.59500000000003</v>
      </c>
      <c r="M87" s="58">
        <f t="shared" si="19"/>
        <v>7.2937413087882499</v>
      </c>
      <c r="N87" s="49">
        <v>2065</v>
      </c>
      <c r="O87" s="59">
        <v>0.36</v>
      </c>
      <c r="P87" s="11">
        <f t="shared" si="30"/>
        <v>743.4</v>
      </c>
      <c r="Q87" s="12">
        <f t="shared" si="31"/>
        <v>1321.6</v>
      </c>
      <c r="R87" s="60">
        <v>1</v>
      </c>
      <c r="S87" s="61">
        <f t="shared" si="29"/>
        <v>910</v>
      </c>
      <c r="T87" s="62" t="s">
        <v>229</v>
      </c>
      <c r="U87" s="63">
        <f t="shared" si="20"/>
        <v>340.00499999999988</v>
      </c>
      <c r="V87" s="11">
        <f t="shared" si="21"/>
        <v>3400.0499999999988</v>
      </c>
      <c r="W87" s="63">
        <f t="shared" si="22"/>
        <v>411.59999999999991</v>
      </c>
      <c r="X87" s="63">
        <f t="shared" si="23"/>
        <v>4115.9999999999991</v>
      </c>
      <c r="Y87" s="49"/>
      <c r="Z87" s="13">
        <f t="shared" si="32"/>
        <v>13216</v>
      </c>
      <c r="AA87" s="13">
        <v>12390</v>
      </c>
      <c r="AB87" s="13">
        <f t="shared" si="24"/>
        <v>9815.9500000000007</v>
      </c>
      <c r="AC87" s="14">
        <f t="shared" si="25"/>
        <v>9100</v>
      </c>
    </row>
    <row r="88" spans="1:29" ht="15.95" customHeight="1" x14ac:dyDescent="0.25">
      <c r="A88" s="47">
        <v>86</v>
      </c>
      <c r="B88" s="48">
        <v>3021030</v>
      </c>
      <c r="C88" s="10" t="s">
        <v>84</v>
      </c>
      <c r="D88" s="49">
        <v>20</v>
      </c>
      <c r="E88" s="50">
        <v>3750</v>
      </c>
      <c r="F88" s="51">
        <v>0.35</v>
      </c>
      <c r="G88" s="52">
        <f t="shared" si="34"/>
        <v>1312.5</v>
      </c>
      <c r="H88" s="53">
        <f t="shared" si="27"/>
        <v>2437.5</v>
      </c>
      <c r="I88" s="63">
        <v>4823</v>
      </c>
      <c r="J88" s="55">
        <v>0.53</v>
      </c>
      <c r="K88" s="56">
        <f t="shared" si="28"/>
        <v>2556.19</v>
      </c>
      <c r="L88" s="57">
        <f t="shared" si="18"/>
        <v>2266.81</v>
      </c>
      <c r="M88" s="58">
        <f t="shared" si="19"/>
        <v>-7.5299650169180516</v>
      </c>
      <c r="N88" s="49">
        <v>4900</v>
      </c>
      <c r="O88" s="59">
        <v>0.36</v>
      </c>
      <c r="P88" s="11">
        <f t="shared" si="30"/>
        <v>1764</v>
      </c>
      <c r="Q88" s="12">
        <f t="shared" si="31"/>
        <v>3136</v>
      </c>
      <c r="R88" s="60">
        <v>1</v>
      </c>
      <c r="S88" s="61">
        <f t="shared" si="29"/>
        <v>2266.81</v>
      </c>
      <c r="T88" s="62" t="s">
        <v>222</v>
      </c>
      <c r="U88" s="63">
        <f t="shared" si="20"/>
        <v>869.19</v>
      </c>
      <c r="V88" s="11">
        <f t="shared" si="21"/>
        <v>17383.800000000003</v>
      </c>
      <c r="W88" s="63">
        <f t="shared" si="22"/>
        <v>698.5</v>
      </c>
      <c r="X88" s="63">
        <f t="shared" si="23"/>
        <v>13970</v>
      </c>
      <c r="Y88" s="49"/>
      <c r="Z88" s="13">
        <f t="shared" si="32"/>
        <v>62720</v>
      </c>
      <c r="AA88" s="13">
        <v>58800</v>
      </c>
      <c r="AB88" s="13">
        <f t="shared" si="24"/>
        <v>45336.2</v>
      </c>
      <c r="AC88" s="14">
        <f t="shared" si="25"/>
        <v>48750</v>
      </c>
    </row>
    <row r="89" spans="1:29" ht="15.95" customHeight="1" x14ac:dyDescent="0.25">
      <c r="A89" s="47">
        <v>87</v>
      </c>
      <c r="B89" s="48">
        <v>3021030</v>
      </c>
      <c r="C89" s="10" t="s">
        <v>85</v>
      </c>
      <c r="D89" s="49">
        <v>22</v>
      </c>
      <c r="E89" s="50">
        <v>3750</v>
      </c>
      <c r="F89" s="51">
        <v>0.35</v>
      </c>
      <c r="G89" s="52">
        <f t="shared" si="34"/>
        <v>1312.5</v>
      </c>
      <c r="H89" s="53">
        <f t="shared" si="27"/>
        <v>2437.5</v>
      </c>
      <c r="I89" s="63">
        <v>4823</v>
      </c>
      <c r="J89" s="55">
        <v>0.53</v>
      </c>
      <c r="K89" s="56">
        <f t="shared" si="28"/>
        <v>2556.19</v>
      </c>
      <c r="L89" s="57">
        <f t="shared" si="18"/>
        <v>2266.81</v>
      </c>
      <c r="M89" s="58">
        <f t="shared" si="19"/>
        <v>-7.5299650169180516</v>
      </c>
      <c r="N89" s="49">
        <v>4900</v>
      </c>
      <c r="O89" s="59">
        <v>0.36</v>
      </c>
      <c r="P89" s="11">
        <f t="shared" si="30"/>
        <v>1764</v>
      </c>
      <c r="Q89" s="12">
        <f t="shared" si="31"/>
        <v>3136</v>
      </c>
      <c r="R89" s="60">
        <v>1</v>
      </c>
      <c r="S89" s="61">
        <f t="shared" si="29"/>
        <v>2266.81</v>
      </c>
      <c r="T89" s="62" t="s">
        <v>222</v>
      </c>
      <c r="U89" s="63">
        <f t="shared" si="20"/>
        <v>869.19</v>
      </c>
      <c r="V89" s="11">
        <f t="shared" si="21"/>
        <v>19122.18</v>
      </c>
      <c r="W89" s="63">
        <f t="shared" si="22"/>
        <v>698.5</v>
      </c>
      <c r="X89" s="63">
        <f t="shared" si="23"/>
        <v>15367</v>
      </c>
      <c r="Y89" s="49"/>
      <c r="Z89" s="13">
        <f t="shared" si="32"/>
        <v>68992</v>
      </c>
      <c r="AA89" s="13">
        <v>64680</v>
      </c>
      <c r="AB89" s="13">
        <f t="shared" si="24"/>
        <v>49869.82</v>
      </c>
      <c r="AC89" s="14">
        <f t="shared" si="25"/>
        <v>53625</v>
      </c>
    </row>
    <row r="90" spans="1:29" ht="15.95" customHeight="1" x14ac:dyDescent="0.25">
      <c r="A90" s="47">
        <v>88</v>
      </c>
      <c r="B90" s="48">
        <v>3021012</v>
      </c>
      <c r="C90" s="10" t="s">
        <v>86</v>
      </c>
      <c r="D90" s="49">
        <v>82</v>
      </c>
      <c r="E90" s="50">
        <v>485</v>
      </c>
      <c r="F90" s="51">
        <v>0.35</v>
      </c>
      <c r="G90" s="52">
        <f t="shared" si="34"/>
        <v>169.75</v>
      </c>
      <c r="H90" s="53">
        <f t="shared" si="27"/>
        <v>315.25</v>
      </c>
      <c r="I90" s="63">
        <v>988.5</v>
      </c>
      <c r="J90" s="55">
        <v>0.53</v>
      </c>
      <c r="K90" s="56">
        <f t="shared" si="28"/>
        <v>523.90499999999997</v>
      </c>
      <c r="L90" s="57">
        <f t="shared" si="18"/>
        <v>464.59500000000003</v>
      </c>
      <c r="M90" s="58">
        <f t="shared" si="19"/>
        <v>32.145201734844335</v>
      </c>
      <c r="N90" s="49">
        <v>885</v>
      </c>
      <c r="O90" s="59">
        <v>0.36</v>
      </c>
      <c r="P90" s="11">
        <f t="shared" si="30"/>
        <v>318.59999999999997</v>
      </c>
      <c r="Q90" s="12">
        <f t="shared" si="31"/>
        <v>566.40000000000009</v>
      </c>
      <c r="R90" s="60">
        <v>1</v>
      </c>
      <c r="S90" s="61">
        <f t="shared" si="29"/>
        <v>315.25</v>
      </c>
      <c r="T90" s="62" t="s">
        <v>229</v>
      </c>
      <c r="U90" s="63">
        <f t="shared" si="20"/>
        <v>101.80500000000006</v>
      </c>
      <c r="V90" s="11">
        <f t="shared" si="21"/>
        <v>8348.0100000000057</v>
      </c>
      <c r="W90" s="63">
        <f t="shared" si="22"/>
        <v>251.15000000000009</v>
      </c>
      <c r="X90" s="63">
        <f t="shared" si="23"/>
        <v>20594.300000000007</v>
      </c>
      <c r="Y90" s="49"/>
      <c r="Z90" s="13">
        <f t="shared" si="32"/>
        <v>46444.80000000001</v>
      </c>
      <c r="AA90" s="13">
        <v>43542</v>
      </c>
      <c r="AB90" s="13">
        <f t="shared" si="24"/>
        <v>38096.79</v>
      </c>
      <c r="AC90" s="14">
        <f t="shared" si="25"/>
        <v>25850.5</v>
      </c>
    </row>
    <row r="91" spans="1:29" ht="15.95" customHeight="1" x14ac:dyDescent="0.25">
      <c r="A91" s="47">
        <v>89</v>
      </c>
      <c r="B91" s="48">
        <v>3021016</v>
      </c>
      <c r="C91" s="10" t="s">
        <v>87</v>
      </c>
      <c r="D91" s="49">
        <v>50</v>
      </c>
      <c r="E91" s="50">
        <v>600</v>
      </c>
      <c r="F91" s="51">
        <v>0.35</v>
      </c>
      <c r="G91" s="52">
        <f t="shared" si="34"/>
        <v>210</v>
      </c>
      <c r="H91" s="53">
        <f t="shared" si="27"/>
        <v>390</v>
      </c>
      <c r="I91" s="63">
        <v>1090.5</v>
      </c>
      <c r="J91" s="55">
        <v>0.53</v>
      </c>
      <c r="K91" s="56">
        <f t="shared" si="28"/>
        <v>577.96500000000003</v>
      </c>
      <c r="L91" s="57">
        <f t="shared" si="18"/>
        <v>512.53499999999997</v>
      </c>
      <c r="M91" s="58">
        <f t="shared" si="19"/>
        <v>23.907635576106991</v>
      </c>
      <c r="N91" s="49">
        <v>1005</v>
      </c>
      <c r="O91" s="59">
        <v>0.36</v>
      </c>
      <c r="P91" s="11">
        <f t="shared" si="30"/>
        <v>361.8</v>
      </c>
      <c r="Q91" s="12">
        <f t="shared" si="31"/>
        <v>643.20000000000005</v>
      </c>
      <c r="R91" s="60">
        <v>1</v>
      </c>
      <c r="S91" s="61">
        <f t="shared" si="29"/>
        <v>390</v>
      </c>
      <c r="T91" s="62" t="s">
        <v>229</v>
      </c>
      <c r="U91" s="63">
        <f t="shared" si="20"/>
        <v>130.66500000000008</v>
      </c>
      <c r="V91" s="11">
        <f t="shared" si="21"/>
        <v>6533.2500000000036</v>
      </c>
      <c r="W91" s="63">
        <f t="shared" si="22"/>
        <v>253.20000000000005</v>
      </c>
      <c r="X91" s="63">
        <f t="shared" si="23"/>
        <v>12660.000000000002</v>
      </c>
      <c r="Y91" s="49"/>
      <c r="Z91" s="13">
        <f t="shared" si="32"/>
        <v>32160.000000000004</v>
      </c>
      <c r="AA91" s="13">
        <v>30150</v>
      </c>
      <c r="AB91" s="13">
        <f t="shared" si="24"/>
        <v>25626.75</v>
      </c>
      <c r="AC91" s="14">
        <f t="shared" si="25"/>
        <v>19500</v>
      </c>
    </row>
    <row r="92" spans="1:29" ht="15.95" customHeight="1" x14ac:dyDescent="0.25">
      <c r="A92" s="47">
        <v>90</v>
      </c>
      <c r="B92" s="48">
        <v>6402017</v>
      </c>
      <c r="C92" s="10" t="s">
        <v>88</v>
      </c>
      <c r="D92" s="49">
        <v>50</v>
      </c>
      <c r="E92" s="50">
        <v>700</v>
      </c>
      <c r="F92" s="51">
        <v>0.35</v>
      </c>
      <c r="G92" s="52">
        <f t="shared" si="34"/>
        <v>244.99999999999997</v>
      </c>
      <c r="H92" s="53">
        <f t="shared" si="27"/>
        <v>455</v>
      </c>
      <c r="I92" s="63">
        <v>1136</v>
      </c>
      <c r="J92" s="55">
        <v>0.53</v>
      </c>
      <c r="K92" s="56">
        <f t="shared" si="28"/>
        <v>602.08000000000004</v>
      </c>
      <c r="L92" s="57">
        <f t="shared" si="18"/>
        <v>533.91999999999996</v>
      </c>
      <c r="M92" s="58">
        <f t="shared" si="19"/>
        <v>14.781240635301163</v>
      </c>
      <c r="N92" s="49">
        <v>1170</v>
      </c>
      <c r="O92" s="59">
        <v>0.36</v>
      </c>
      <c r="P92" s="11">
        <f t="shared" si="30"/>
        <v>421.2</v>
      </c>
      <c r="Q92" s="12">
        <f t="shared" si="31"/>
        <v>748.8</v>
      </c>
      <c r="R92" s="60">
        <v>1</v>
      </c>
      <c r="S92" s="61">
        <f t="shared" si="29"/>
        <v>455</v>
      </c>
      <c r="T92" s="62" t="s">
        <v>229</v>
      </c>
      <c r="U92" s="63">
        <f t="shared" si="20"/>
        <v>214.88</v>
      </c>
      <c r="V92" s="11">
        <f t="shared" si="21"/>
        <v>10744</v>
      </c>
      <c r="W92" s="63">
        <f t="shared" si="22"/>
        <v>293.79999999999995</v>
      </c>
      <c r="X92" s="63">
        <f t="shared" si="23"/>
        <v>14689.999999999998</v>
      </c>
      <c r="Y92" s="49"/>
      <c r="Z92" s="13">
        <f t="shared" si="32"/>
        <v>37440</v>
      </c>
      <c r="AA92" s="13">
        <v>35100</v>
      </c>
      <c r="AB92" s="13">
        <f t="shared" si="24"/>
        <v>26695.999999999996</v>
      </c>
      <c r="AC92" s="14">
        <f t="shared" si="25"/>
        <v>22750</v>
      </c>
    </row>
    <row r="93" spans="1:29" ht="15.95" customHeight="1" x14ac:dyDescent="0.25">
      <c r="A93" s="47">
        <v>91</v>
      </c>
      <c r="B93" s="48">
        <v>5655020</v>
      </c>
      <c r="C93" s="10" t="s">
        <v>89</v>
      </c>
      <c r="D93" s="49">
        <v>186</v>
      </c>
      <c r="E93" s="50">
        <v>750</v>
      </c>
      <c r="F93" s="51">
        <v>0.35</v>
      </c>
      <c r="G93" s="52">
        <f t="shared" si="34"/>
        <v>262.5</v>
      </c>
      <c r="H93" s="53">
        <f t="shared" si="27"/>
        <v>487.5</v>
      </c>
      <c r="I93" s="63">
        <v>1383.5</v>
      </c>
      <c r="J93" s="55">
        <v>0.53</v>
      </c>
      <c r="K93" s="56">
        <f t="shared" si="28"/>
        <v>733.255</v>
      </c>
      <c r="L93" s="57">
        <f t="shared" si="18"/>
        <v>650.245</v>
      </c>
      <c r="M93" s="58">
        <f t="shared" si="19"/>
        <v>25.028258579458512</v>
      </c>
      <c r="N93" s="49">
        <v>1435</v>
      </c>
      <c r="O93" s="59">
        <v>0.36</v>
      </c>
      <c r="P93" s="11">
        <f t="shared" si="30"/>
        <v>516.6</v>
      </c>
      <c r="Q93" s="12">
        <f t="shared" si="31"/>
        <v>918.4</v>
      </c>
      <c r="R93" s="60">
        <v>1</v>
      </c>
      <c r="S93" s="61">
        <f t="shared" si="29"/>
        <v>487.5</v>
      </c>
      <c r="T93" s="62" t="s">
        <v>229</v>
      </c>
      <c r="U93" s="63">
        <f t="shared" si="20"/>
        <v>268.15499999999997</v>
      </c>
      <c r="V93" s="11">
        <f t="shared" si="21"/>
        <v>49876.829999999994</v>
      </c>
      <c r="W93" s="63">
        <f t="shared" si="22"/>
        <v>430.9</v>
      </c>
      <c r="X93" s="63">
        <f t="shared" si="23"/>
        <v>80147.399999999994</v>
      </c>
      <c r="Y93" s="49"/>
      <c r="Z93" s="13">
        <f t="shared" si="32"/>
        <v>170822.39999999999</v>
      </c>
      <c r="AA93" s="13">
        <v>160146</v>
      </c>
      <c r="AB93" s="13">
        <f t="shared" si="24"/>
        <v>120945.57</v>
      </c>
      <c r="AC93" s="14">
        <f t="shared" si="25"/>
        <v>90675</v>
      </c>
    </row>
    <row r="94" spans="1:29" ht="15.95" customHeight="1" x14ac:dyDescent="0.25">
      <c r="A94" s="47">
        <v>92</v>
      </c>
      <c r="B94" s="48">
        <v>5645024</v>
      </c>
      <c r="C94" s="10" t="s">
        <v>90</v>
      </c>
      <c r="D94" s="49">
        <v>434</v>
      </c>
      <c r="E94" s="50">
        <v>900</v>
      </c>
      <c r="F94" s="51">
        <v>0.35</v>
      </c>
      <c r="G94" s="52">
        <f t="shared" si="34"/>
        <v>315</v>
      </c>
      <c r="H94" s="53">
        <f t="shared" si="27"/>
        <v>585</v>
      </c>
      <c r="I94" s="63">
        <v>1499</v>
      </c>
      <c r="J94" s="55">
        <v>0.53</v>
      </c>
      <c r="K94" s="56">
        <f t="shared" si="28"/>
        <v>794.47</v>
      </c>
      <c r="L94" s="57">
        <f t="shared" si="18"/>
        <v>704.53</v>
      </c>
      <c r="M94" s="58">
        <f t="shared" si="19"/>
        <v>16.965920542773191</v>
      </c>
      <c r="N94" s="49">
        <v>1555</v>
      </c>
      <c r="O94" s="59">
        <v>0.36</v>
      </c>
      <c r="P94" s="11">
        <f t="shared" si="30"/>
        <v>559.79999999999995</v>
      </c>
      <c r="Q94" s="12">
        <f t="shared" si="31"/>
        <v>995.2</v>
      </c>
      <c r="R94" s="60">
        <v>1</v>
      </c>
      <c r="S94" s="61">
        <f t="shared" si="29"/>
        <v>585</v>
      </c>
      <c r="T94" s="62" t="s">
        <v>229</v>
      </c>
      <c r="U94" s="63">
        <f t="shared" si="20"/>
        <v>290.67000000000007</v>
      </c>
      <c r="V94" s="11">
        <f t="shared" si="21"/>
        <v>126150.78000000003</v>
      </c>
      <c r="W94" s="63">
        <f t="shared" si="22"/>
        <v>410.20000000000005</v>
      </c>
      <c r="X94" s="63">
        <f t="shared" si="23"/>
        <v>178026.80000000002</v>
      </c>
      <c r="Y94" s="49"/>
      <c r="Z94" s="13">
        <f t="shared" si="32"/>
        <v>431916.80000000005</v>
      </c>
      <c r="AA94" s="13">
        <v>404922</v>
      </c>
      <c r="AB94" s="13">
        <f t="shared" si="24"/>
        <v>305766.01999999996</v>
      </c>
      <c r="AC94" s="14">
        <f t="shared" si="25"/>
        <v>253890</v>
      </c>
    </row>
    <row r="95" spans="1:29" ht="15.95" customHeight="1" x14ac:dyDescent="0.25">
      <c r="A95" s="47">
        <v>93</v>
      </c>
      <c r="B95" s="48">
        <v>5647006</v>
      </c>
      <c r="C95" s="10" t="s">
        <v>91</v>
      </c>
      <c r="D95" s="49">
        <v>273</v>
      </c>
      <c r="E95" s="50">
        <v>380</v>
      </c>
      <c r="F95" s="51">
        <v>0.35</v>
      </c>
      <c r="G95" s="52">
        <f t="shared" si="34"/>
        <v>133</v>
      </c>
      <c r="H95" s="53">
        <f t="shared" si="27"/>
        <v>247</v>
      </c>
      <c r="I95" s="63">
        <v>937.5</v>
      </c>
      <c r="J95" s="55">
        <v>0.53</v>
      </c>
      <c r="K95" s="56">
        <f t="shared" si="28"/>
        <v>496.875</v>
      </c>
      <c r="L95" s="57">
        <f t="shared" si="18"/>
        <v>440.625</v>
      </c>
      <c r="M95" s="58">
        <f t="shared" si="19"/>
        <v>43.943262411347519</v>
      </c>
      <c r="N95" s="49">
        <v>925</v>
      </c>
      <c r="O95" s="59">
        <v>0.36</v>
      </c>
      <c r="P95" s="11">
        <f t="shared" si="30"/>
        <v>333</v>
      </c>
      <c r="Q95" s="12">
        <f t="shared" si="31"/>
        <v>592</v>
      </c>
      <c r="R95" s="60">
        <v>1</v>
      </c>
      <c r="S95" s="61">
        <f t="shared" si="29"/>
        <v>247</v>
      </c>
      <c r="T95" s="62" t="s">
        <v>229</v>
      </c>
      <c r="U95" s="63">
        <f t="shared" si="20"/>
        <v>151.375</v>
      </c>
      <c r="V95" s="11">
        <f t="shared" si="21"/>
        <v>41325.375</v>
      </c>
      <c r="W95" s="63">
        <f t="shared" si="22"/>
        <v>345</v>
      </c>
      <c r="X95" s="63">
        <f t="shared" si="23"/>
        <v>94185</v>
      </c>
      <c r="Y95" s="49"/>
      <c r="Z95" s="13">
        <f t="shared" si="32"/>
        <v>161616</v>
      </c>
      <c r="AA95" s="13">
        <v>151515</v>
      </c>
      <c r="AB95" s="13">
        <f t="shared" si="24"/>
        <v>120290.625</v>
      </c>
      <c r="AC95" s="14">
        <f t="shared" si="25"/>
        <v>67431</v>
      </c>
    </row>
    <row r="96" spans="1:29" ht="15.95" customHeight="1" x14ac:dyDescent="0.25">
      <c r="A96" s="47">
        <v>94</v>
      </c>
      <c r="B96" s="48">
        <v>5655006</v>
      </c>
      <c r="C96" s="10" t="s">
        <v>92</v>
      </c>
      <c r="D96" s="49">
        <v>408</v>
      </c>
      <c r="E96" s="50">
        <v>520</v>
      </c>
      <c r="F96" s="51">
        <v>0.35</v>
      </c>
      <c r="G96" s="52">
        <f t="shared" si="34"/>
        <v>182</v>
      </c>
      <c r="H96" s="53">
        <f t="shared" si="27"/>
        <v>338</v>
      </c>
      <c r="I96" s="63">
        <v>1131.5</v>
      </c>
      <c r="J96" s="55">
        <v>0.53</v>
      </c>
      <c r="K96" s="56">
        <f t="shared" si="28"/>
        <v>599.69500000000005</v>
      </c>
      <c r="L96" s="57">
        <f t="shared" si="18"/>
        <v>531.80499999999995</v>
      </c>
      <c r="M96" s="58">
        <f t="shared" si="19"/>
        <v>36.442869096755388</v>
      </c>
      <c r="N96" s="49">
        <v>1175</v>
      </c>
      <c r="O96" s="59">
        <v>0.36</v>
      </c>
      <c r="P96" s="11">
        <f t="shared" si="30"/>
        <v>423</v>
      </c>
      <c r="Q96" s="12">
        <f t="shared" si="31"/>
        <v>752</v>
      </c>
      <c r="R96" s="60">
        <v>1</v>
      </c>
      <c r="S96" s="61">
        <f t="shared" si="29"/>
        <v>338</v>
      </c>
      <c r="T96" s="62" t="s">
        <v>229</v>
      </c>
      <c r="U96" s="63">
        <f t="shared" si="20"/>
        <v>220.19500000000005</v>
      </c>
      <c r="V96" s="11">
        <f t="shared" si="21"/>
        <v>89839.560000000027</v>
      </c>
      <c r="W96" s="63">
        <f t="shared" si="22"/>
        <v>414</v>
      </c>
      <c r="X96" s="63">
        <f t="shared" si="23"/>
        <v>168912</v>
      </c>
      <c r="Y96" s="49"/>
      <c r="Z96" s="13">
        <f t="shared" si="32"/>
        <v>306816</v>
      </c>
      <c r="AA96" s="13">
        <v>287640</v>
      </c>
      <c r="AB96" s="13">
        <f t="shared" si="24"/>
        <v>216976.43999999997</v>
      </c>
      <c r="AC96" s="14">
        <f t="shared" si="25"/>
        <v>137904</v>
      </c>
    </row>
    <row r="97" spans="1:29" ht="15.95" customHeight="1" x14ac:dyDescent="0.25">
      <c r="A97" s="47">
        <v>95</v>
      </c>
      <c r="B97" s="48">
        <v>5647016</v>
      </c>
      <c r="C97" s="10" t="s">
        <v>93</v>
      </c>
      <c r="D97" s="49">
        <v>1499</v>
      </c>
      <c r="E97" s="50">
        <v>400</v>
      </c>
      <c r="F97" s="51">
        <v>0.35</v>
      </c>
      <c r="G97" s="52">
        <f t="shared" si="34"/>
        <v>140</v>
      </c>
      <c r="H97" s="53">
        <f t="shared" si="27"/>
        <v>260</v>
      </c>
      <c r="I97" s="63">
        <v>810</v>
      </c>
      <c r="J97" s="55">
        <v>0.53</v>
      </c>
      <c r="K97" s="56">
        <f t="shared" si="28"/>
        <v>429.3</v>
      </c>
      <c r="L97" s="57">
        <f t="shared" si="18"/>
        <v>380.7</v>
      </c>
      <c r="M97" s="58">
        <f t="shared" si="19"/>
        <v>31.704754399789856</v>
      </c>
      <c r="N97" s="49">
        <v>1050</v>
      </c>
      <c r="O97" s="59">
        <v>0.36</v>
      </c>
      <c r="P97" s="11">
        <f t="shared" si="30"/>
        <v>378</v>
      </c>
      <c r="Q97" s="12">
        <f t="shared" si="31"/>
        <v>672</v>
      </c>
      <c r="R97" s="60">
        <v>1</v>
      </c>
      <c r="S97" s="61">
        <f t="shared" si="29"/>
        <v>260</v>
      </c>
      <c r="T97" s="62" t="s">
        <v>229</v>
      </c>
      <c r="U97" s="63">
        <f t="shared" si="20"/>
        <v>291.3</v>
      </c>
      <c r="V97" s="11">
        <f>U97*D97</f>
        <v>436658.7</v>
      </c>
      <c r="W97" s="63">
        <f t="shared" si="22"/>
        <v>412</v>
      </c>
      <c r="X97" s="63">
        <f t="shared" si="23"/>
        <v>617588</v>
      </c>
      <c r="Y97" s="49"/>
      <c r="Z97" s="13">
        <f t="shared" si="32"/>
        <v>1007328</v>
      </c>
      <c r="AA97" s="13">
        <v>944370</v>
      </c>
      <c r="AB97" s="13">
        <f t="shared" si="24"/>
        <v>570669.29999999993</v>
      </c>
      <c r="AC97" s="14">
        <f t="shared" si="25"/>
        <v>389740</v>
      </c>
    </row>
    <row r="98" spans="1:29" ht="15.95" customHeight="1" x14ac:dyDescent="0.25">
      <c r="A98" s="47">
        <v>96</v>
      </c>
      <c r="B98" s="48">
        <v>5655016</v>
      </c>
      <c r="C98" s="10" t="s">
        <v>94</v>
      </c>
      <c r="D98" s="49">
        <v>254</v>
      </c>
      <c r="E98" s="50">
        <v>550</v>
      </c>
      <c r="F98" s="51">
        <v>0.35</v>
      </c>
      <c r="G98" s="52">
        <f t="shared" si="34"/>
        <v>192.5</v>
      </c>
      <c r="H98" s="53">
        <f t="shared" si="27"/>
        <v>357.5</v>
      </c>
      <c r="I98" s="63">
        <v>1002</v>
      </c>
      <c r="J98" s="55">
        <v>0.53</v>
      </c>
      <c r="K98" s="56">
        <f t="shared" si="28"/>
        <v>531.06000000000006</v>
      </c>
      <c r="L98" s="57">
        <f t="shared" si="18"/>
        <v>470.93999999999994</v>
      </c>
      <c r="M98" s="58">
        <f t="shared" si="19"/>
        <v>24.087994224317313</v>
      </c>
      <c r="N98" s="49">
        <v>1015</v>
      </c>
      <c r="O98" s="59">
        <v>0.36</v>
      </c>
      <c r="P98" s="11">
        <f t="shared" si="30"/>
        <v>365.4</v>
      </c>
      <c r="Q98" s="12">
        <f t="shared" si="31"/>
        <v>649.6</v>
      </c>
      <c r="R98" s="60">
        <v>1</v>
      </c>
      <c r="S98" s="61">
        <f t="shared" si="29"/>
        <v>357.5</v>
      </c>
      <c r="T98" s="62" t="s">
        <v>229</v>
      </c>
      <c r="U98" s="63">
        <f t="shared" si="20"/>
        <v>178.66000000000008</v>
      </c>
      <c r="V98" s="11">
        <f t="shared" si="21"/>
        <v>45379.640000000021</v>
      </c>
      <c r="W98" s="63">
        <f t="shared" si="22"/>
        <v>292.10000000000002</v>
      </c>
      <c r="X98" s="63">
        <f t="shared" si="23"/>
        <v>74193.400000000009</v>
      </c>
      <c r="Y98" s="49"/>
      <c r="Z98" s="13">
        <f t="shared" si="32"/>
        <v>164998.39999999999</v>
      </c>
      <c r="AA98" s="13">
        <v>154686</v>
      </c>
      <c r="AB98" s="13">
        <f t="shared" ref="AB98:AB126" si="35">L98*D98</f>
        <v>119618.75999999998</v>
      </c>
      <c r="AC98" s="14">
        <f t="shared" ref="AC98:AC126" si="36">H98*D98</f>
        <v>90805</v>
      </c>
    </row>
    <row r="99" spans="1:29" ht="15.95" customHeight="1" x14ac:dyDescent="0.25">
      <c r="A99" s="47">
        <v>97</v>
      </c>
      <c r="B99" s="48">
        <v>5647029</v>
      </c>
      <c r="C99" s="10" t="s">
        <v>95</v>
      </c>
      <c r="D99" s="49">
        <v>376</v>
      </c>
      <c r="E99" s="50">
        <v>1325</v>
      </c>
      <c r="F99" s="51">
        <v>0.35</v>
      </c>
      <c r="G99" s="52">
        <f t="shared" si="34"/>
        <v>463.74999999999994</v>
      </c>
      <c r="H99" s="53">
        <f t="shared" si="27"/>
        <v>861.25</v>
      </c>
      <c r="I99" s="63">
        <v>2182</v>
      </c>
      <c r="J99" s="55">
        <v>0.53</v>
      </c>
      <c r="K99" s="56">
        <f t="shared" si="28"/>
        <v>1156.46</v>
      </c>
      <c r="L99" s="57">
        <f t="shared" si="18"/>
        <v>1025.54</v>
      </c>
      <c r="M99" s="58">
        <f t="shared" si="19"/>
        <v>16.019852955516114</v>
      </c>
      <c r="N99" s="49">
        <v>2400</v>
      </c>
      <c r="O99" s="59">
        <v>0.36</v>
      </c>
      <c r="P99" s="11">
        <f t="shared" si="30"/>
        <v>864</v>
      </c>
      <c r="Q99" s="12">
        <f t="shared" si="31"/>
        <v>1536</v>
      </c>
      <c r="R99" s="60">
        <v>1</v>
      </c>
      <c r="S99" s="61">
        <f t="shared" si="29"/>
        <v>861.25</v>
      </c>
      <c r="T99" s="62" t="s">
        <v>229</v>
      </c>
      <c r="U99" s="63">
        <f t="shared" si="20"/>
        <v>510.46000000000004</v>
      </c>
      <c r="V99" s="11">
        <f t="shared" si="21"/>
        <v>191932.96000000002</v>
      </c>
      <c r="W99" s="63">
        <f t="shared" si="22"/>
        <v>674.75</v>
      </c>
      <c r="X99" s="63">
        <f t="shared" si="23"/>
        <v>253706</v>
      </c>
      <c r="Y99" s="49"/>
      <c r="Z99" s="13">
        <f t="shared" si="32"/>
        <v>577536</v>
      </c>
      <c r="AA99" s="13">
        <v>541440</v>
      </c>
      <c r="AB99" s="13">
        <f t="shared" si="35"/>
        <v>385603.04</v>
      </c>
      <c r="AC99" s="14">
        <f t="shared" si="36"/>
        <v>323830</v>
      </c>
    </row>
    <row r="100" spans="1:29" ht="15.95" customHeight="1" x14ac:dyDescent="0.25">
      <c r="A100" s="47">
        <v>98</v>
      </c>
      <c r="B100" s="48">
        <v>5647008</v>
      </c>
      <c r="C100" s="10" t="s">
        <v>96</v>
      </c>
      <c r="D100" s="49">
        <v>397</v>
      </c>
      <c r="E100" s="50">
        <v>350</v>
      </c>
      <c r="F100" s="51">
        <v>0.35</v>
      </c>
      <c r="G100" s="52">
        <f t="shared" si="34"/>
        <v>122.49999999999999</v>
      </c>
      <c r="H100" s="53">
        <f t="shared" si="27"/>
        <v>227.5</v>
      </c>
      <c r="I100" s="63">
        <v>942.5</v>
      </c>
      <c r="J100" s="55">
        <v>0.53</v>
      </c>
      <c r="K100" s="56">
        <f t="shared" si="28"/>
        <v>499.52500000000003</v>
      </c>
      <c r="L100" s="57">
        <f t="shared" si="18"/>
        <v>442.97499999999997</v>
      </c>
      <c r="M100" s="58">
        <f t="shared" si="19"/>
        <v>48.642699926632424</v>
      </c>
      <c r="N100" s="49">
        <v>955</v>
      </c>
      <c r="O100" s="59">
        <v>0.36</v>
      </c>
      <c r="P100" s="11">
        <f t="shared" si="30"/>
        <v>343.8</v>
      </c>
      <c r="Q100" s="12">
        <f t="shared" si="31"/>
        <v>611.20000000000005</v>
      </c>
      <c r="R100" s="60">
        <v>1</v>
      </c>
      <c r="S100" s="61">
        <f t="shared" si="29"/>
        <v>227.5</v>
      </c>
      <c r="T100" s="62" t="s">
        <v>229</v>
      </c>
      <c r="U100" s="63">
        <f t="shared" si="20"/>
        <v>168.22500000000008</v>
      </c>
      <c r="V100" s="11">
        <f t="shared" si="21"/>
        <v>66785.325000000026</v>
      </c>
      <c r="W100" s="63">
        <f t="shared" si="22"/>
        <v>383.70000000000005</v>
      </c>
      <c r="X100" s="63">
        <f t="shared" si="23"/>
        <v>152328.90000000002</v>
      </c>
      <c r="Y100" s="49"/>
      <c r="Z100" s="13">
        <f t="shared" si="32"/>
        <v>242646.40000000002</v>
      </c>
      <c r="AA100" s="13">
        <v>227481</v>
      </c>
      <c r="AB100" s="13">
        <f t="shared" si="35"/>
        <v>175861.07499999998</v>
      </c>
      <c r="AC100" s="14">
        <f t="shared" si="36"/>
        <v>90317.5</v>
      </c>
    </row>
    <row r="101" spans="1:29" ht="15.95" customHeight="1" x14ac:dyDescent="0.25">
      <c r="A101" s="47">
        <v>99</v>
      </c>
      <c r="B101" s="48">
        <v>5647008</v>
      </c>
      <c r="C101" s="10" t="s">
        <v>97</v>
      </c>
      <c r="D101" s="49">
        <v>200</v>
      </c>
      <c r="E101" s="50">
        <v>350</v>
      </c>
      <c r="F101" s="51">
        <v>0.35</v>
      </c>
      <c r="G101" s="52">
        <f t="shared" si="34"/>
        <v>122.49999999999999</v>
      </c>
      <c r="H101" s="53">
        <f t="shared" si="27"/>
        <v>227.5</v>
      </c>
      <c r="I101" s="63">
        <v>942.5</v>
      </c>
      <c r="J101" s="55">
        <v>0.53</v>
      </c>
      <c r="K101" s="56">
        <f t="shared" si="28"/>
        <v>499.52500000000003</v>
      </c>
      <c r="L101" s="57">
        <f t="shared" si="18"/>
        <v>442.97499999999997</v>
      </c>
      <c r="M101" s="58">
        <f t="shared" si="19"/>
        <v>48.642699926632424</v>
      </c>
      <c r="N101" s="49">
        <v>955</v>
      </c>
      <c r="O101" s="59">
        <v>0.36</v>
      </c>
      <c r="P101" s="11">
        <f t="shared" si="30"/>
        <v>343.8</v>
      </c>
      <c r="Q101" s="12">
        <f t="shared" si="31"/>
        <v>611.20000000000005</v>
      </c>
      <c r="R101" s="60">
        <v>1</v>
      </c>
      <c r="S101" s="61">
        <f t="shared" si="29"/>
        <v>227.5</v>
      </c>
      <c r="T101" s="62" t="s">
        <v>229</v>
      </c>
      <c r="U101" s="63">
        <f t="shared" si="20"/>
        <v>168.22500000000008</v>
      </c>
      <c r="V101" s="11">
        <f t="shared" si="21"/>
        <v>33645.000000000015</v>
      </c>
      <c r="W101" s="63">
        <f t="shared" si="22"/>
        <v>383.70000000000005</v>
      </c>
      <c r="X101" s="63">
        <f t="shared" si="23"/>
        <v>76740.000000000015</v>
      </c>
      <c r="Y101" s="49"/>
      <c r="Z101" s="13">
        <f t="shared" si="32"/>
        <v>122240.00000000001</v>
      </c>
      <c r="AA101" s="13">
        <v>114600</v>
      </c>
      <c r="AB101" s="13">
        <f t="shared" si="35"/>
        <v>88595</v>
      </c>
      <c r="AC101" s="14">
        <f t="shared" si="36"/>
        <v>45500</v>
      </c>
    </row>
    <row r="102" spans="1:29" ht="15.95" customHeight="1" x14ac:dyDescent="0.25">
      <c r="A102" s="47">
        <v>100</v>
      </c>
      <c r="B102" s="48">
        <v>5647020</v>
      </c>
      <c r="C102" s="10" t="s">
        <v>98</v>
      </c>
      <c r="D102" s="49">
        <v>534</v>
      </c>
      <c r="E102" s="50">
        <v>550</v>
      </c>
      <c r="F102" s="51">
        <v>0.35</v>
      </c>
      <c r="G102" s="52">
        <f t="shared" si="34"/>
        <v>192.5</v>
      </c>
      <c r="H102" s="53">
        <f t="shared" si="27"/>
        <v>357.5</v>
      </c>
      <c r="I102" s="63">
        <v>1131.5</v>
      </c>
      <c r="J102" s="55">
        <v>0.53</v>
      </c>
      <c r="K102" s="56">
        <f t="shared" si="28"/>
        <v>599.69500000000005</v>
      </c>
      <c r="L102" s="57">
        <f t="shared" si="18"/>
        <v>531.80499999999995</v>
      </c>
      <c r="M102" s="58">
        <f t="shared" si="19"/>
        <v>32.776111544645119</v>
      </c>
      <c r="N102" s="49">
        <v>1235</v>
      </c>
      <c r="O102" s="59">
        <v>0.36</v>
      </c>
      <c r="P102" s="11">
        <f t="shared" si="30"/>
        <v>444.59999999999997</v>
      </c>
      <c r="Q102" s="12">
        <f t="shared" si="31"/>
        <v>790.40000000000009</v>
      </c>
      <c r="R102" s="60">
        <v>1</v>
      </c>
      <c r="S102" s="61">
        <f t="shared" si="29"/>
        <v>357.5</v>
      </c>
      <c r="T102" s="62" t="s">
        <v>229</v>
      </c>
      <c r="U102" s="63">
        <f t="shared" si="20"/>
        <v>258.59500000000014</v>
      </c>
      <c r="V102" s="11">
        <f t="shared" si="21"/>
        <v>138089.73000000007</v>
      </c>
      <c r="W102" s="63">
        <f t="shared" si="22"/>
        <v>432.90000000000009</v>
      </c>
      <c r="X102" s="63">
        <f t="shared" si="23"/>
        <v>231168.60000000003</v>
      </c>
      <c r="Y102" s="49"/>
      <c r="Z102" s="13">
        <f t="shared" si="32"/>
        <v>422073.60000000003</v>
      </c>
      <c r="AA102" s="13">
        <v>395694</v>
      </c>
      <c r="AB102" s="13">
        <f t="shared" si="35"/>
        <v>283983.87</v>
      </c>
      <c r="AC102" s="14">
        <f t="shared" si="36"/>
        <v>190905</v>
      </c>
    </row>
    <row r="103" spans="1:29" ht="15.95" customHeight="1" x14ac:dyDescent="0.25">
      <c r="A103" s="47">
        <v>101</v>
      </c>
      <c r="B103" s="48">
        <v>5647009</v>
      </c>
      <c r="C103" s="10" t="s">
        <v>99</v>
      </c>
      <c r="D103" s="49">
        <v>447</v>
      </c>
      <c r="E103" s="50">
        <v>350</v>
      </c>
      <c r="F103" s="51">
        <v>0.35</v>
      </c>
      <c r="G103" s="52">
        <f t="shared" si="34"/>
        <v>122.49999999999999</v>
      </c>
      <c r="H103" s="53">
        <f t="shared" si="27"/>
        <v>227.5</v>
      </c>
      <c r="I103" s="63">
        <v>868</v>
      </c>
      <c r="J103" s="55">
        <v>0.53</v>
      </c>
      <c r="K103" s="56">
        <f t="shared" si="28"/>
        <v>460.04</v>
      </c>
      <c r="L103" s="57">
        <f t="shared" si="18"/>
        <v>407.96</v>
      </c>
      <c r="M103" s="58">
        <f t="shared" si="19"/>
        <v>44.234728894989701</v>
      </c>
      <c r="N103" s="49">
        <v>1020</v>
      </c>
      <c r="O103" s="59">
        <v>0.36</v>
      </c>
      <c r="P103" s="11">
        <f t="shared" si="30"/>
        <v>367.2</v>
      </c>
      <c r="Q103" s="12">
        <f t="shared" si="31"/>
        <v>652.79999999999995</v>
      </c>
      <c r="R103" s="60">
        <v>1</v>
      </c>
      <c r="S103" s="61">
        <f t="shared" si="29"/>
        <v>227.5</v>
      </c>
      <c r="T103" s="62" t="s">
        <v>229</v>
      </c>
      <c r="U103" s="63">
        <f t="shared" si="20"/>
        <v>244.83999999999997</v>
      </c>
      <c r="V103" s="11">
        <f t="shared" si="21"/>
        <v>109443.48</v>
      </c>
      <c r="W103" s="63">
        <f t="shared" si="22"/>
        <v>425.29999999999995</v>
      </c>
      <c r="X103" s="63">
        <f t="shared" si="23"/>
        <v>190109.09999999998</v>
      </c>
      <c r="Y103" s="49"/>
      <c r="Z103" s="13">
        <f t="shared" si="32"/>
        <v>291801.59999999998</v>
      </c>
      <c r="AA103" s="13">
        <v>273564</v>
      </c>
      <c r="AB103" s="13">
        <f t="shared" si="35"/>
        <v>182358.12</v>
      </c>
      <c r="AC103" s="14">
        <f t="shared" si="36"/>
        <v>101692.5</v>
      </c>
    </row>
    <row r="104" spans="1:29" ht="15.95" customHeight="1" x14ac:dyDescent="0.25">
      <c r="A104" s="47">
        <v>102</v>
      </c>
      <c r="B104" s="48">
        <v>5647021</v>
      </c>
      <c r="C104" s="10" t="s">
        <v>100</v>
      </c>
      <c r="D104" s="49">
        <v>236</v>
      </c>
      <c r="E104" s="50">
        <v>555</v>
      </c>
      <c r="F104" s="51">
        <v>0.35</v>
      </c>
      <c r="G104" s="52">
        <f t="shared" si="34"/>
        <v>194.25</v>
      </c>
      <c r="H104" s="53">
        <f t="shared" si="27"/>
        <v>360.75</v>
      </c>
      <c r="I104" s="63">
        <v>1137</v>
      </c>
      <c r="J104" s="55">
        <v>0.53</v>
      </c>
      <c r="K104" s="56">
        <f t="shared" si="28"/>
        <v>602.61</v>
      </c>
      <c r="L104" s="57">
        <f t="shared" si="18"/>
        <v>534.39</v>
      </c>
      <c r="M104" s="58">
        <f t="shared" si="19"/>
        <v>32.493123000056137</v>
      </c>
      <c r="N104" s="49">
        <v>1330</v>
      </c>
      <c r="O104" s="59">
        <v>0.36</v>
      </c>
      <c r="P104" s="11">
        <f t="shared" si="30"/>
        <v>478.79999999999995</v>
      </c>
      <c r="Q104" s="12">
        <f t="shared" si="31"/>
        <v>851.2</v>
      </c>
      <c r="R104" s="60">
        <v>1</v>
      </c>
      <c r="S104" s="61">
        <f t="shared" si="29"/>
        <v>360.75</v>
      </c>
      <c r="T104" s="62" t="s">
        <v>229</v>
      </c>
      <c r="U104" s="63">
        <f t="shared" si="20"/>
        <v>316.81000000000006</v>
      </c>
      <c r="V104" s="11">
        <f t="shared" si="21"/>
        <v>74767.160000000018</v>
      </c>
      <c r="W104" s="63">
        <f t="shared" si="22"/>
        <v>490.45000000000005</v>
      </c>
      <c r="X104" s="63">
        <f t="shared" si="23"/>
        <v>115746.20000000001</v>
      </c>
      <c r="Y104" s="49"/>
      <c r="Z104" s="13">
        <f t="shared" si="32"/>
        <v>200883.20000000001</v>
      </c>
      <c r="AA104" s="13">
        <v>188328</v>
      </c>
      <c r="AB104" s="13">
        <f t="shared" si="35"/>
        <v>126116.04</v>
      </c>
      <c r="AC104" s="14">
        <f t="shared" si="36"/>
        <v>85137</v>
      </c>
    </row>
    <row r="105" spans="1:29" ht="15.95" customHeight="1" x14ac:dyDescent="0.25">
      <c r="A105" s="47">
        <v>103</v>
      </c>
      <c r="B105" s="48">
        <v>5655021</v>
      </c>
      <c r="C105" s="10" t="s">
        <v>101</v>
      </c>
      <c r="D105" s="49">
        <v>154</v>
      </c>
      <c r="E105" s="50">
        <v>750</v>
      </c>
      <c r="F105" s="51">
        <v>0.35</v>
      </c>
      <c r="G105" s="52">
        <f t="shared" si="34"/>
        <v>262.5</v>
      </c>
      <c r="H105" s="53">
        <f t="shared" si="27"/>
        <v>487.5</v>
      </c>
      <c r="I105" s="63">
        <v>1388.5</v>
      </c>
      <c r="J105" s="55">
        <v>0.53</v>
      </c>
      <c r="K105" s="56">
        <f t="shared" si="28"/>
        <v>735.90500000000009</v>
      </c>
      <c r="L105" s="57">
        <f t="shared" si="18"/>
        <v>652.59499999999991</v>
      </c>
      <c r="M105" s="58">
        <f t="shared" si="19"/>
        <v>25.298232441253756</v>
      </c>
      <c r="N105" s="49">
        <v>1440</v>
      </c>
      <c r="O105" s="59">
        <v>0.36</v>
      </c>
      <c r="P105" s="11">
        <f t="shared" si="30"/>
        <v>518.4</v>
      </c>
      <c r="Q105" s="12">
        <f t="shared" si="31"/>
        <v>921.6</v>
      </c>
      <c r="R105" s="60">
        <v>1</v>
      </c>
      <c r="S105" s="61">
        <f t="shared" si="29"/>
        <v>487.5</v>
      </c>
      <c r="T105" s="62" t="s">
        <v>229</v>
      </c>
      <c r="U105" s="63">
        <f t="shared" si="20"/>
        <v>269.00500000000011</v>
      </c>
      <c r="V105" s="11">
        <f t="shared" si="21"/>
        <v>41426.770000000019</v>
      </c>
      <c r="W105" s="63">
        <f t="shared" si="22"/>
        <v>434.1</v>
      </c>
      <c r="X105" s="63">
        <f t="shared" si="23"/>
        <v>66851.400000000009</v>
      </c>
      <c r="Y105" s="49"/>
      <c r="Z105" s="13">
        <f t="shared" si="32"/>
        <v>141926.39999999999</v>
      </c>
      <c r="AA105" s="13">
        <v>133056</v>
      </c>
      <c r="AB105" s="13">
        <f t="shared" si="35"/>
        <v>100499.62999999999</v>
      </c>
      <c r="AC105" s="14">
        <f t="shared" si="36"/>
        <v>75075</v>
      </c>
    </row>
    <row r="106" spans="1:29" ht="15.95" customHeight="1" x14ac:dyDescent="0.25">
      <c r="A106" s="47">
        <v>104</v>
      </c>
      <c r="B106" s="48">
        <v>5647012</v>
      </c>
      <c r="C106" s="10" t="s">
        <v>102</v>
      </c>
      <c r="D106" s="49">
        <v>929</v>
      </c>
      <c r="E106" s="50">
        <v>350</v>
      </c>
      <c r="F106" s="51">
        <v>0.35</v>
      </c>
      <c r="G106" s="52">
        <f t="shared" si="34"/>
        <v>122.49999999999999</v>
      </c>
      <c r="H106" s="53">
        <f t="shared" si="27"/>
        <v>227.5</v>
      </c>
      <c r="I106" s="63">
        <v>826</v>
      </c>
      <c r="J106" s="55">
        <v>0.53</v>
      </c>
      <c r="K106" s="56">
        <f t="shared" si="28"/>
        <v>437.78000000000003</v>
      </c>
      <c r="L106" s="57">
        <f t="shared" si="18"/>
        <v>388.21999999999997</v>
      </c>
      <c r="M106" s="58">
        <f t="shared" si="19"/>
        <v>41.399206635412902</v>
      </c>
      <c r="N106" s="49">
        <v>1000</v>
      </c>
      <c r="O106" s="59">
        <v>0.36</v>
      </c>
      <c r="P106" s="11">
        <f t="shared" si="30"/>
        <v>360</v>
      </c>
      <c r="Q106" s="12">
        <f t="shared" si="31"/>
        <v>640</v>
      </c>
      <c r="R106" s="60">
        <v>1</v>
      </c>
      <c r="S106" s="61">
        <f t="shared" si="29"/>
        <v>227.5</v>
      </c>
      <c r="T106" s="62" t="s">
        <v>229</v>
      </c>
      <c r="U106" s="63">
        <f t="shared" si="20"/>
        <v>251.78000000000003</v>
      </c>
      <c r="V106" s="11">
        <f t="shared" si="21"/>
        <v>233903.62000000002</v>
      </c>
      <c r="W106" s="63">
        <f t="shared" si="22"/>
        <v>412.5</v>
      </c>
      <c r="X106" s="63">
        <f t="shared" si="23"/>
        <v>383212.5</v>
      </c>
      <c r="Y106" s="49"/>
      <c r="Z106" s="13">
        <f t="shared" si="32"/>
        <v>594560</v>
      </c>
      <c r="AA106" s="13">
        <v>557400</v>
      </c>
      <c r="AB106" s="13">
        <f t="shared" si="35"/>
        <v>360656.37999999995</v>
      </c>
      <c r="AC106" s="14">
        <f t="shared" si="36"/>
        <v>211347.5</v>
      </c>
    </row>
    <row r="107" spans="1:29" ht="15.95" customHeight="1" x14ac:dyDescent="0.25">
      <c r="A107" s="47">
        <v>105</v>
      </c>
      <c r="B107" s="48">
        <v>5655012</v>
      </c>
      <c r="C107" s="10" t="s">
        <v>103</v>
      </c>
      <c r="D107" s="49">
        <v>494</v>
      </c>
      <c r="E107" s="50">
        <v>525</v>
      </c>
      <c r="F107" s="51">
        <v>0.35</v>
      </c>
      <c r="G107" s="52">
        <f t="shared" si="34"/>
        <v>183.75</v>
      </c>
      <c r="H107" s="53">
        <f t="shared" si="27"/>
        <v>341.25</v>
      </c>
      <c r="I107" s="63">
        <v>1004.5</v>
      </c>
      <c r="J107" s="55">
        <v>0.53</v>
      </c>
      <c r="K107" s="56">
        <f t="shared" si="28"/>
        <v>532.38499999999999</v>
      </c>
      <c r="L107" s="57">
        <f t="shared" si="18"/>
        <v>472.11500000000001</v>
      </c>
      <c r="M107" s="58">
        <f t="shared" si="19"/>
        <v>27.718882052042403</v>
      </c>
      <c r="N107" s="49">
        <v>1040</v>
      </c>
      <c r="O107" s="59">
        <v>0.36</v>
      </c>
      <c r="P107" s="11">
        <f t="shared" si="30"/>
        <v>374.4</v>
      </c>
      <c r="Q107" s="12">
        <f t="shared" si="31"/>
        <v>665.6</v>
      </c>
      <c r="R107" s="60">
        <v>1</v>
      </c>
      <c r="S107" s="61">
        <f t="shared" si="29"/>
        <v>341.25</v>
      </c>
      <c r="T107" s="62" t="s">
        <v>229</v>
      </c>
      <c r="U107" s="63">
        <f t="shared" si="20"/>
        <v>193.48500000000001</v>
      </c>
      <c r="V107" s="11">
        <f t="shared" si="21"/>
        <v>95581.590000000011</v>
      </c>
      <c r="W107" s="63">
        <f t="shared" si="22"/>
        <v>324.35000000000002</v>
      </c>
      <c r="X107" s="63">
        <f t="shared" si="23"/>
        <v>160228.90000000002</v>
      </c>
      <c r="Y107" s="49"/>
      <c r="Z107" s="13">
        <f t="shared" si="32"/>
        <v>328806.40000000002</v>
      </c>
      <c r="AA107" s="13">
        <v>308256</v>
      </c>
      <c r="AB107" s="13">
        <f t="shared" si="35"/>
        <v>233224.81</v>
      </c>
      <c r="AC107" s="14">
        <f t="shared" si="36"/>
        <v>168577.5</v>
      </c>
    </row>
    <row r="108" spans="1:29" ht="15.95" customHeight="1" x14ac:dyDescent="0.25">
      <c r="A108" s="47">
        <v>106</v>
      </c>
      <c r="B108" s="48">
        <v>5655005</v>
      </c>
      <c r="C108" s="10" t="s">
        <v>104</v>
      </c>
      <c r="D108" s="49">
        <v>62</v>
      </c>
      <c r="E108" s="50">
        <v>700</v>
      </c>
      <c r="F108" s="51">
        <v>0.35</v>
      </c>
      <c r="G108" s="52">
        <f t="shared" si="34"/>
        <v>244.99999999999997</v>
      </c>
      <c r="H108" s="53">
        <f t="shared" si="27"/>
        <v>455</v>
      </c>
      <c r="I108" s="63">
        <v>1326</v>
      </c>
      <c r="J108" s="55">
        <v>0.53</v>
      </c>
      <c r="K108" s="56">
        <f t="shared" si="28"/>
        <v>702.78000000000009</v>
      </c>
      <c r="L108" s="57">
        <f t="shared" si="18"/>
        <v>623.21999999999991</v>
      </c>
      <c r="M108" s="58">
        <f t="shared" si="19"/>
        <v>26.992073425114718</v>
      </c>
      <c r="N108" s="49">
        <v>1340</v>
      </c>
      <c r="O108" s="59">
        <v>0.36</v>
      </c>
      <c r="P108" s="11">
        <f t="shared" si="30"/>
        <v>482.4</v>
      </c>
      <c r="Q108" s="12">
        <f t="shared" si="31"/>
        <v>857.6</v>
      </c>
      <c r="R108" s="60">
        <v>1</v>
      </c>
      <c r="S108" s="61">
        <f t="shared" si="29"/>
        <v>455</v>
      </c>
      <c r="T108" s="62" t="s">
        <v>229</v>
      </c>
      <c r="U108" s="63">
        <f t="shared" si="20"/>
        <v>234.38000000000011</v>
      </c>
      <c r="V108" s="11">
        <f t="shared" si="21"/>
        <v>14531.560000000007</v>
      </c>
      <c r="W108" s="63">
        <f t="shared" si="22"/>
        <v>402.6</v>
      </c>
      <c r="X108" s="63">
        <f t="shared" si="23"/>
        <v>24961.200000000001</v>
      </c>
      <c r="Y108" s="49"/>
      <c r="Z108" s="13">
        <f t="shared" si="32"/>
        <v>53171.200000000004</v>
      </c>
      <c r="AA108" s="13">
        <v>49848</v>
      </c>
      <c r="AB108" s="13">
        <f t="shared" si="35"/>
        <v>38639.639999999992</v>
      </c>
      <c r="AC108" s="14">
        <f t="shared" si="36"/>
        <v>28210</v>
      </c>
    </row>
    <row r="109" spans="1:29" ht="15.95" customHeight="1" x14ac:dyDescent="0.25">
      <c r="A109" s="47">
        <v>107</v>
      </c>
      <c r="B109" s="48">
        <v>7101001</v>
      </c>
      <c r="C109" s="10" t="s">
        <v>105</v>
      </c>
      <c r="D109" s="49">
        <v>56</v>
      </c>
      <c r="E109" s="50">
        <v>220</v>
      </c>
      <c r="F109" s="51">
        <v>0.35</v>
      </c>
      <c r="G109" s="52">
        <f t="shared" si="34"/>
        <v>77</v>
      </c>
      <c r="H109" s="53">
        <f t="shared" si="27"/>
        <v>143</v>
      </c>
      <c r="I109" s="63">
        <v>399.1</v>
      </c>
      <c r="J109" s="55">
        <v>0.53</v>
      </c>
      <c r="K109" s="56">
        <f t="shared" si="28"/>
        <v>211.52300000000002</v>
      </c>
      <c r="L109" s="57">
        <f t="shared" si="18"/>
        <v>187.577</v>
      </c>
      <c r="M109" s="58">
        <f t="shared" si="19"/>
        <v>23.764640654237994</v>
      </c>
      <c r="N109" s="49">
        <v>415</v>
      </c>
      <c r="O109" s="59">
        <v>0.36</v>
      </c>
      <c r="P109" s="11">
        <f t="shared" si="30"/>
        <v>149.4</v>
      </c>
      <c r="Q109" s="12">
        <f t="shared" si="31"/>
        <v>265.60000000000002</v>
      </c>
      <c r="R109" s="60">
        <v>1</v>
      </c>
      <c r="S109" s="61">
        <f t="shared" si="29"/>
        <v>143</v>
      </c>
      <c r="T109" s="62" t="s">
        <v>229</v>
      </c>
      <c r="U109" s="63">
        <f t="shared" si="20"/>
        <v>78.023000000000025</v>
      </c>
      <c r="V109" s="11">
        <f t="shared" si="21"/>
        <v>4369.2880000000014</v>
      </c>
      <c r="W109" s="63">
        <f t="shared" si="22"/>
        <v>122.60000000000002</v>
      </c>
      <c r="X109" s="63">
        <f t="shared" si="23"/>
        <v>6865.6000000000013</v>
      </c>
      <c r="Y109" s="49"/>
      <c r="Z109" s="13">
        <f t="shared" si="32"/>
        <v>14873.600000000002</v>
      </c>
      <c r="AA109" s="13">
        <v>13944</v>
      </c>
      <c r="AB109" s="13">
        <f t="shared" si="35"/>
        <v>10504.312</v>
      </c>
      <c r="AC109" s="14">
        <f t="shared" si="36"/>
        <v>8008</v>
      </c>
    </row>
    <row r="110" spans="1:29" ht="15.95" customHeight="1" x14ac:dyDescent="0.25">
      <c r="A110" s="47">
        <v>108</v>
      </c>
      <c r="B110" s="48">
        <v>7101002</v>
      </c>
      <c r="C110" s="10" t="s">
        <v>106</v>
      </c>
      <c r="D110" s="49">
        <v>56</v>
      </c>
      <c r="E110" s="50">
        <v>230</v>
      </c>
      <c r="F110" s="51">
        <v>0.35</v>
      </c>
      <c r="G110" s="52">
        <f t="shared" si="34"/>
        <v>80.5</v>
      </c>
      <c r="H110" s="53">
        <f t="shared" si="27"/>
        <v>149.5</v>
      </c>
      <c r="I110" s="63">
        <v>448.2</v>
      </c>
      <c r="J110" s="55">
        <v>0.53</v>
      </c>
      <c r="K110" s="56">
        <f t="shared" si="28"/>
        <v>237.54599999999999</v>
      </c>
      <c r="L110" s="57">
        <f t="shared" si="18"/>
        <v>210.654</v>
      </c>
      <c r="M110" s="58">
        <f t="shared" si="19"/>
        <v>29.030542975685247</v>
      </c>
      <c r="N110" s="49">
        <v>465</v>
      </c>
      <c r="O110" s="59">
        <v>0.36</v>
      </c>
      <c r="P110" s="11">
        <f t="shared" si="30"/>
        <v>167.4</v>
      </c>
      <c r="Q110" s="12">
        <f t="shared" si="31"/>
        <v>297.60000000000002</v>
      </c>
      <c r="R110" s="60">
        <v>1</v>
      </c>
      <c r="S110" s="61">
        <f t="shared" si="29"/>
        <v>149.5</v>
      </c>
      <c r="T110" s="62" t="s">
        <v>229</v>
      </c>
      <c r="U110" s="63">
        <f t="shared" si="20"/>
        <v>86.946000000000026</v>
      </c>
      <c r="V110" s="11">
        <f t="shared" si="21"/>
        <v>4868.9760000000015</v>
      </c>
      <c r="W110" s="63">
        <f t="shared" si="22"/>
        <v>148.10000000000002</v>
      </c>
      <c r="X110" s="63">
        <f t="shared" si="23"/>
        <v>8293.6000000000022</v>
      </c>
      <c r="Y110" s="49"/>
      <c r="Z110" s="13">
        <f t="shared" si="32"/>
        <v>16665.600000000002</v>
      </c>
      <c r="AA110" s="13">
        <v>15624</v>
      </c>
      <c r="AB110" s="13">
        <f t="shared" si="35"/>
        <v>11796.624</v>
      </c>
      <c r="AC110" s="14">
        <f t="shared" si="36"/>
        <v>8372</v>
      </c>
    </row>
    <row r="111" spans="1:29" ht="15.95" customHeight="1" x14ac:dyDescent="0.25">
      <c r="A111" s="47">
        <v>109</v>
      </c>
      <c r="B111" s="48">
        <v>7101003</v>
      </c>
      <c r="C111" s="10" t="s">
        <v>107</v>
      </c>
      <c r="D111" s="49">
        <v>44</v>
      </c>
      <c r="E111" s="50">
        <v>250</v>
      </c>
      <c r="F111" s="51">
        <v>0.35</v>
      </c>
      <c r="G111" s="52">
        <f t="shared" si="34"/>
        <v>87.5</v>
      </c>
      <c r="H111" s="53">
        <f t="shared" si="27"/>
        <v>162.5</v>
      </c>
      <c r="I111" s="63">
        <v>473.5</v>
      </c>
      <c r="J111" s="55">
        <v>0.53</v>
      </c>
      <c r="K111" s="56">
        <f t="shared" si="28"/>
        <v>250.95500000000001</v>
      </c>
      <c r="L111" s="57">
        <f t="shared" si="18"/>
        <v>222.54499999999999</v>
      </c>
      <c r="M111" s="58">
        <f t="shared" si="19"/>
        <v>26.981060010334986</v>
      </c>
      <c r="N111" s="49">
        <v>490</v>
      </c>
      <c r="O111" s="59">
        <v>0.36</v>
      </c>
      <c r="P111" s="11">
        <f t="shared" si="30"/>
        <v>176.4</v>
      </c>
      <c r="Q111" s="12">
        <f t="shared" si="31"/>
        <v>313.60000000000002</v>
      </c>
      <c r="R111" s="60">
        <v>1</v>
      </c>
      <c r="S111" s="61">
        <f t="shared" si="29"/>
        <v>162.5</v>
      </c>
      <c r="T111" s="62" t="s">
        <v>229</v>
      </c>
      <c r="U111" s="63">
        <f t="shared" si="20"/>
        <v>91.055000000000035</v>
      </c>
      <c r="V111" s="11">
        <f t="shared" si="21"/>
        <v>4006.4200000000014</v>
      </c>
      <c r="W111" s="63">
        <f t="shared" si="22"/>
        <v>151.10000000000002</v>
      </c>
      <c r="X111" s="63">
        <f t="shared" si="23"/>
        <v>6648.4000000000015</v>
      </c>
      <c r="Y111" s="49"/>
      <c r="Z111" s="13">
        <f t="shared" si="32"/>
        <v>13798.400000000001</v>
      </c>
      <c r="AA111" s="13">
        <v>12936</v>
      </c>
      <c r="AB111" s="13">
        <f t="shared" si="35"/>
        <v>9791.98</v>
      </c>
      <c r="AC111" s="14">
        <f t="shared" si="36"/>
        <v>7150</v>
      </c>
    </row>
    <row r="112" spans="1:29" ht="15.95" customHeight="1" x14ac:dyDescent="0.25">
      <c r="A112" s="47">
        <v>110</v>
      </c>
      <c r="B112" s="48">
        <v>7101004</v>
      </c>
      <c r="C112" s="10" t="s">
        <v>108</v>
      </c>
      <c r="D112" s="49">
        <v>44</v>
      </c>
      <c r="E112" s="50">
        <v>250</v>
      </c>
      <c r="F112" s="51">
        <v>0.35</v>
      </c>
      <c r="G112" s="52">
        <f t="shared" si="34"/>
        <v>87.5</v>
      </c>
      <c r="H112" s="53">
        <f t="shared" si="27"/>
        <v>162.5</v>
      </c>
      <c r="I112" s="63">
        <v>473.5</v>
      </c>
      <c r="J112" s="55">
        <v>0.53</v>
      </c>
      <c r="K112" s="56">
        <f t="shared" si="28"/>
        <v>250.95500000000001</v>
      </c>
      <c r="L112" s="57">
        <f t="shared" si="18"/>
        <v>222.54499999999999</v>
      </c>
      <c r="M112" s="58">
        <f t="shared" si="19"/>
        <v>26.981060010334986</v>
      </c>
      <c r="N112" s="49">
        <v>490</v>
      </c>
      <c r="O112" s="59">
        <v>0.36</v>
      </c>
      <c r="P112" s="11">
        <f t="shared" si="30"/>
        <v>176.4</v>
      </c>
      <c r="Q112" s="12">
        <f t="shared" si="31"/>
        <v>313.60000000000002</v>
      </c>
      <c r="R112" s="60">
        <v>1</v>
      </c>
      <c r="S112" s="61">
        <f t="shared" si="29"/>
        <v>162.5</v>
      </c>
      <c r="T112" s="62" t="s">
        <v>229</v>
      </c>
      <c r="U112" s="63">
        <f t="shared" si="20"/>
        <v>91.055000000000035</v>
      </c>
      <c r="V112" s="11">
        <f t="shared" si="21"/>
        <v>4006.4200000000014</v>
      </c>
      <c r="W112" s="63">
        <f t="shared" si="22"/>
        <v>151.10000000000002</v>
      </c>
      <c r="X112" s="63">
        <f t="shared" si="23"/>
        <v>6648.4000000000015</v>
      </c>
      <c r="Y112" s="49"/>
      <c r="Z112" s="13">
        <f t="shared" si="32"/>
        <v>13798.400000000001</v>
      </c>
      <c r="AA112" s="13">
        <v>12936</v>
      </c>
      <c r="AB112" s="13">
        <f t="shared" si="35"/>
        <v>9791.98</v>
      </c>
      <c r="AC112" s="14">
        <f t="shared" si="36"/>
        <v>7150</v>
      </c>
    </row>
    <row r="113" spans="1:29" ht="15.95" customHeight="1" x14ac:dyDescent="0.25">
      <c r="A113" s="47">
        <v>111</v>
      </c>
      <c r="B113" s="48">
        <v>7101005</v>
      </c>
      <c r="C113" s="10" t="s">
        <v>109</v>
      </c>
      <c r="D113" s="49">
        <v>60</v>
      </c>
      <c r="E113" s="50">
        <v>250</v>
      </c>
      <c r="F113" s="51">
        <v>0.35</v>
      </c>
      <c r="G113" s="52">
        <f t="shared" si="34"/>
        <v>87.5</v>
      </c>
      <c r="H113" s="53">
        <f t="shared" si="27"/>
        <v>162.5</v>
      </c>
      <c r="I113" s="63">
        <v>473.3</v>
      </c>
      <c r="J113" s="55">
        <v>0.53</v>
      </c>
      <c r="K113" s="56">
        <f t="shared" si="28"/>
        <v>250.84900000000002</v>
      </c>
      <c r="L113" s="57">
        <f t="shared" si="18"/>
        <v>222.45099999999999</v>
      </c>
      <c r="M113" s="58">
        <f t="shared" si="19"/>
        <v>26.950204764195259</v>
      </c>
      <c r="N113" s="49">
        <v>495</v>
      </c>
      <c r="O113" s="59">
        <v>0.36</v>
      </c>
      <c r="P113" s="11">
        <f t="shared" si="30"/>
        <v>178.2</v>
      </c>
      <c r="Q113" s="12">
        <f t="shared" si="31"/>
        <v>316.8</v>
      </c>
      <c r="R113" s="60">
        <v>1</v>
      </c>
      <c r="S113" s="61">
        <f t="shared" si="29"/>
        <v>162.5</v>
      </c>
      <c r="T113" s="62" t="s">
        <v>229</v>
      </c>
      <c r="U113" s="63">
        <f t="shared" si="20"/>
        <v>94.349000000000018</v>
      </c>
      <c r="V113" s="11">
        <f t="shared" si="21"/>
        <v>5660.9400000000014</v>
      </c>
      <c r="W113" s="63">
        <f t="shared" si="22"/>
        <v>154.30000000000001</v>
      </c>
      <c r="X113" s="63">
        <f t="shared" si="23"/>
        <v>9258</v>
      </c>
      <c r="Y113" s="49"/>
      <c r="Z113" s="13">
        <f t="shared" si="32"/>
        <v>19008</v>
      </c>
      <c r="AA113" s="13">
        <v>17820</v>
      </c>
      <c r="AB113" s="13">
        <f t="shared" si="35"/>
        <v>13347.06</v>
      </c>
      <c r="AC113" s="14">
        <f t="shared" si="36"/>
        <v>9750</v>
      </c>
    </row>
    <row r="114" spans="1:29" ht="15.95" customHeight="1" x14ac:dyDescent="0.25">
      <c r="A114" s="47">
        <v>112</v>
      </c>
      <c r="B114" s="48">
        <v>7101706</v>
      </c>
      <c r="C114" s="10" t="s">
        <v>110</v>
      </c>
      <c r="D114" s="49">
        <v>40</v>
      </c>
      <c r="E114" s="50">
        <v>300</v>
      </c>
      <c r="F114" s="51">
        <v>0.35</v>
      </c>
      <c r="G114" s="52">
        <f t="shared" si="34"/>
        <v>105</v>
      </c>
      <c r="H114" s="53">
        <f t="shared" si="27"/>
        <v>195</v>
      </c>
      <c r="I114" s="63">
        <v>520.20000000000005</v>
      </c>
      <c r="J114" s="55">
        <v>0.53</v>
      </c>
      <c r="K114" s="56">
        <f t="shared" si="28"/>
        <v>275.70600000000002</v>
      </c>
      <c r="L114" s="57">
        <f t="shared" si="18"/>
        <v>244.49400000000003</v>
      </c>
      <c r="M114" s="58">
        <f t="shared" si="19"/>
        <v>20.243441556848033</v>
      </c>
      <c r="N114" s="49">
        <v>540</v>
      </c>
      <c r="O114" s="59">
        <v>0.36</v>
      </c>
      <c r="P114" s="11">
        <f t="shared" si="30"/>
        <v>194.4</v>
      </c>
      <c r="Q114" s="12">
        <f t="shared" si="31"/>
        <v>345.6</v>
      </c>
      <c r="R114" s="60">
        <v>1</v>
      </c>
      <c r="S114" s="61">
        <f t="shared" si="29"/>
        <v>195</v>
      </c>
      <c r="T114" s="62" t="s">
        <v>229</v>
      </c>
      <c r="U114" s="63">
        <f t="shared" si="20"/>
        <v>101.10599999999999</v>
      </c>
      <c r="V114" s="11">
        <f t="shared" si="21"/>
        <v>4044.24</v>
      </c>
      <c r="W114" s="63">
        <f t="shared" si="22"/>
        <v>150.60000000000002</v>
      </c>
      <c r="X114" s="63">
        <f t="shared" si="23"/>
        <v>6024.0000000000009</v>
      </c>
      <c r="Y114" s="49"/>
      <c r="Z114" s="13">
        <f t="shared" si="32"/>
        <v>13824</v>
      </c>
      <c r="AA114" s="13">
        <v>12960</v>
      </c>
      <c r="AB114" s="13">
        <f t="shared" si="35"/>
        <v>9779.760000000002</v>
      </c>
      <c r="AC114" s="14">
        <f t="shared" si="36"/>
        <v>7800</v>
      </c>
    </row>
    <row r="115" spans="1:29" ht="15.95" customHeight="1" x14ac:dyDescent="0.25">
      <c r="A115" s="47">
        <v>113</v>
      </c>
      <c r="B115" s="48">
        <v>1630008</v>
      </c>
      <c r="C115" s="10" t="s">
        <v>111</v>
      </c>
      <c r="D115" s="49">
        <v>142</v>
      </c>
      <c r="E115" s="50">
        <v>485</v>
      </c>
      <c r="F115" s="51">
        <v>0.35</v>
      </c>
      <c r="G115" s="52">
        <f t="shared" si="34"/>
        <v>169.75</v>
      </c>
      <c r="H115" s="53">
        <f t="shared" si="27"/>
        <v>315.25</v>
      </c>
      <c r="I115" s="63">
        <v>556.29999999999995</v>
      </c>
      <c r="J115" s="55">
        <v>0.53</v>
      </c>
      <c r="K115" s="56">
        <f t="shared" si="28"/>
        <v>294.839</v>
      </c>
      <c r="L115" s="57">
        <f t="shared" si="18"/>
        <v>261.46099999999996</v>
      </c>
      <c r="M115" s="58">
        <f t="shared" si="19"/>
        <v>-20.572475436107126</v>
      </c>
      <c r="N115" s="49">
        <v>580</v>
      </c>
      <c r="O115" s="59">
        <v>0.36</v>
      </c>
      <c r="P115" s="11">
        <f t="shared" si="30"/>
        <v>208.79999999999998</v>
      </c>
      <c r="Q115" s="12">
        <f t="shared" si="31"/>
        <v>371.20000000000005</v>
      </c>
      <c r="R115" s="60">
        <v>1</v>
      </c>
      <c r="S115" s="61">
        <f t="shared" si="29"/>
        <v>261.46099999999996</v>
      </c>
      <c r="T115" s="62" t="s">
        <v>222</v>
      </c>
      <c r="U115" s="63">
        <f t="shared" si="20"/>
        <v>109.73900000000009</v>
      </c>
      <c r="V115" s="11">
        <f t="shared" si="21"/>
        <v>15582.938000000013</v>
      </c>
      <c r="W115" s="63">
        <f t="shared" si="22"/>
        <v>55.950000000000045</v>
      </c>
      <c r="X115" s="63">
        <f t="shared" si="23"/>
        <v>7944.9000000000069</v>
      </c>
      <c r="Y115" s="49"/>
      <c r="Z115" s="13">
        <f t="shared" si="32"/>
        <v>52710.400000000009</v>
      </c>
      <c r="AA115" s="13">
        <v>49416</v>
      </c>
      <c r="AB115" s="13">
        <f t="shared" si="35"/>
        <v>37127.461999999992</v>
      </c>
      <c r="AC115" s="14">
        <f t="shared" si="36"/>
        <v>44765.5</v>
      </c>
    </row>
    <row r="116" spans="1:29" ht="15.95" customHeight="1" x14ac:dyDescent="0.25">
      <c r="A116" s="47">
        <v>114</v>
      </c>
      <c r="B116" s="48">
        <v>5640002</v>
      </c>
      <c r="C116" s="10" t="s">
        <v>112</v>
      </c>
      <c r="D116" s="49">
        <v>20</v>
      </c>
      <c r="E116" s="50">
        <v>500</v>
      </c>
      <c r="F116" s="51">
        <v>0.35</v>
      </c>
      <c r="G116" s="52">
        <f t="shared" si="34"/>
        <v>175</v>
      </c>
      <c r="H116" s="53">
        <f t="shared" si="27"/>
        <v>325</v>
      </c>
      <c r="I116" s="63">
        <v>1162.5</v>
      </c>
      <c r="J116" s="55">
        <v>0.53</v>
      </c>
      <c r="K116" s="56">
        <f t="shared" si="28"/>
        <v>616.125</v>
      </c>
      <c r="L116" s="57">
        <f t="shared" si="18"/>
        <v>546.375</v>
      </c>
      <c r="M116" s="58">
        <f t="shared" si="19"/>
        <v>40.517044154655686</v>
      </c>
      <c r="N116" s="49">
        <v>1115</v>
      </c>
      <c r="O116" s="59">
        <v>0.36</v>
      </c>
      <c r="P116" s="11">
        <f t="shared" si="30"/>
        <v>401.4</v>
      </c>
      <c r="Q116" s="12">
        <f t="shared" si="31"/>
        <v>713.6</v>
      </c>
      <c r="R116" s="60">
        <v>1</v>
      </c>
      <c r="S116" s="61">
        <f t="shared" si="29"/>
        <v>325</v>
      </c>
      <c r="T116" s="62" t="s">
        <v>229</v>
      </c>
      <c r="U116" s="63">
        <f t="shared" si="20"/>
        <v>167.22500000000002</v>
      </c>
      <c r="V116" s="11">
        <f t="shared" si="21"/>
        <v>3344.5000000000005</v>
      </c>
      <c r="W116" s="63">
        <f t="shared" si="22"/>
        <v>388.6</v>
      </c>
      <c r="X116" s="63">
        <f t="shared" si="23"/>
        <v>7772</v>
      </c>
      <c r="Y116" s="49"/>
      <c r="Z116" s="13">
        <f t="shared" si="32"/>
        <v>14272</v>
      </c>
      <c r="AA116" s="13">
        <v>13380</v>
      </c>
      <c r="AB116" s="13">
        <f t="shared" si="35"/>
        <v>10927.5</v>
      </c>
      <c r="AC116" s="14">
        <f t="shared" si="36"/>
        <v>6500</v>
      </c>
    </row>
    <row r="117" spans="1:29" ht="15.95" customHeight="1" x14ac:dyDescent="0.25">
      <c r="A117" s="47">
        <v>115</v>
      </c>
      <c r="B117" s="48">
        <v>2975016</v>
      </c>
      <c r="C117" s="10" t="s">
        <v>113</v>
      </c>
      <c r="D117" s="49">
        <v>200</v>
      </c>
      <c r="E117" s="50">
        <v>240</v>
      </c>
      <c r="F117" s="51">
        <v>0.35</v>
      </c>
      <c r="G117" s="52">
        <f t="shared" si="34"/>
        <v>84</v>
      </c>
      <c r="H117" s="53">
        <f t="shared" si="27"/>
        <v>156</v>
      </c>
      <c r="I117" s="63">
        <v>305.60000000000002</v>
      </c>
      <c r="J117" s="55">
        <v>0.53</v>
      </c>
      <c r="K117" s="56">
        <f t="shared" si="28"/>
        <v>161.96800000000002</v>
      </c>
      <c r="L117" s="57">
        <f t="shared" si="18"/>
        <v>143.63200000000001</v>
      </c>
      <c r="M117" s="58">
        <f t="shared" si="19"/>
        <v>-8.6108945081875863</v>
      </c>
      <c r="N117" s="49">
        <v>320</v>
      </c>
      <c r="O117" s="59">
        <v>0.36</v>
      </c>
      <c r="P117" s="11">
        <f t="shared" si="30"/>
        <v>115.19999999999999</v>
      </c>
      <c r="Q117" s="12">
        <f t="shared" si="31"/>
        <v>204.8</v>
      </c>
      <c r="R117" s="60">
        <v>1</v>
      </c>
      <c r="S117" s="61">
        <f t="shared" si="29"/>
        <v>143.63200000000001</v>
      </c>
      <c r="T117" s="62" t="s">
        <v>222</v>
      </c>
      <c r="U117" s="63">
        <f t="shared" si="20"/>
        <v>61.168000000000006</v>
      </c>
      <c r="V117" s="11">
        <f t="shared" si="21"/>
        <v>12233.600000000002</v>
      </c>
      <c r="W117" s="63">
        <f t="shared" si="22"/>
        <v>48.800000000000011</v>
      </c>
      <c r="X117" s="63">
        <f t="shared" si="23"/>
        <v>9760.0000000000018</v>
      </c>
      <c r="Y117" s="49"/>
      <c r="Z117" s="13">
        <f t="shared" si="32"/>
        <v>40960</v>
      </c>
      <c r="AA117" s="13">
        <v>38400</v>
      </c>
      <c r="AB117" s="13">
        <f t="shared" si="35"/>
        <v>28726.400000000001</v>
      </c>
      <c r="AC117" s="14">
        <f t="shared" si="36"/>
        <v>31200</v>
      </c>
    </row>
    <row r="118" spans="1:29" ht="15.95" customHeight="1" x14ac:dyDescent="0.25">
      <c r="A118" s="47">
        <v>116</v>
      </c>
      <c r="B118" s="48">
        <v>5655029</v>
      </c>
      <c r="C118" s="10" t="s">
        <v>114</v>
      </c>
      <c r="D118" s="49">
        <v>117</v>
      </c>
      <c r="E118" s="50">
        <v>1710</v>
      </c>
      <c r="F118" s="51">
        <v>0.35</v>
      </c>
      <c r="G118" s="52">
        <f t="shared" si="34"/>
        <v>598.5</v>
      </c>
      <c r="H118" s="53">
        <f t="shared" si="27"/>
        <v>1111.5</v>
      </c>
      <c r="I118" s="63">
        <v>2667</v>
      </c>
      <c r="J118" s="55">
        <v>0.53</v>
      </c>
      <c r="K118" s="56">
        <f t="shared" si="28"/>
        <v>1413.51</v>
      </c>
      <c r="L118" s="57">
        <f t="shared" si="18"/>
        <v>1253.49</v>
      </c>
      <c r="M118" s="58">
        <f t="shared" si="19"/>
        <v>11.327573415025249</v>
      </c>
      <c r="N118" s="49">
        <v>2765</v>
      </c>
      <c r="O118" s="59">
        <v>0.36</v>
      </c>
      <c r="P118" s="11">
        <f t="shared" si="30"/>
        <v>995.4</v>
      </c>
      <c r="Q118" s="12">
        <f t="shared" si="31"/>
        <v>1769.6</v>
      </c>
      <c r="R118" s="60">
        <v>1</v>
      </c>
      <c r="S118" s="61">
        <f t="shared" si="29"/>
        <v>1111.5</v>
      </c>
      <c r="T118" s="62" t="s">
        <v>229</v>
      </c>
      <c r="U118" s="63">
        <f t="shared" si="20"/>
        <v>516.1099999999999</v>
      </c>
      <c r="V118" s="11">
        <f t="shared" si="21"/>
        <v>60384.869999999988</v>
      </c>
      <c r="W118" s="63">
        <f t="shared" si="22"/>
        <v>658.09999999999991</v>
      </c>
      <c r="X118" s="63">
        <f t="shared" si="23"/>
        <v>76997.699999999983</v>
      </c>
      <c r="Y118" s="49"/>
      <c r="Z118" s="13">
        <f t="shared" si="32"/>
        <v>207043.19999999998</v>
      </c>
      <c r="AA118" s="13">
        <v>194103</v>
      </c>
      <c r="AB118" s="13">
        <f t="shared" si="35"/>
        <v>146658.32999999999</v>
      </c>
      <c r="AC118" s="14">
        <f t="shared" si="36"/>
        <v>130045.5</v>
      </c>
    </row>
    <row r="119" spans="1:29" ht="15.95" customHeight="1" x14ac:dyDescent="0.25">
      <c r="A119" s="47">
        <v>117</v>
      </c>
      <c r="B119" s="48">
        <v>5655009</v>
      </c>
      <c r="C119" s="10" t="s">
        <v>115</v>
      </c>
      <c r="D119" s="49">
        <v>204</v>
      </c>
      <c r="E119" s="50">
        <v>520</v>
      </c>
      <c r="F119" s="51">
        <v>0.35</v>
      </c>
      <c r="G119" s="52">
        <f t="shared" si="34"/>
        <v>182</v>
      </c>
      <c r="H119" s="53">
        <f t="shared" si="27"/>
        <v>338</v>
      </c>
      <c r="I119" s="63">
        <v>1067</v>
      </c>
      <c r="J119" s="55">
        <v>0.53</v>
      </c>
      <c r="K119" s="56">
        <f t="shared" si="28"/>
        <v>565.51</v>
      </c>
      <c r="L119" s="57">
        <f t="shared" si="18"/>
        <v>501.49</v>
      </c>
      <c r="M119" s="58">
        <f t="shared" si="19"/>
        <v>32.600849468583618</v>
      </c>
      <c r="N119" s="49">
        <v>1080</v>
      </c>
      <c r="O119" s="59">
        <v>0.36</v>
      </c>
      <c r="P119" s="11">
        <f t="shared" si="30"/>
        <v>388.8</v>
      </c>
      <c r="Q119" s="12">
        <f t="shared" si="31"/>
        <v>691.2</v>
      </c>
      <c r="R119" s="60">
        <v>1</v>
      </c>
      <c r="S119" s="61">
        <f t="shared" si="29"/>
        <v>338</v>
      </c>
      <c r="T119" s="62" t="s">
        <v>229</v>
      </c>
      <c r="U119" s="63">
        <f t="shared" si="20"/>
        <v>189.71000000000004</v>
      </c>
      <c r="V119" s="11">
        <f t="shared" si="21"/>
        <v>38700.840000000011</v>
      </c>
      <c r="W119" s="63">
        <f t="shared" si="22"/>
        <v>353.20000000000005</v>
      </c>
      <c r="X119" s="63">
        <f t="shared" si="23"/>
        <v>72052.800000000003</v>
      </c>
      <c r="Y119" s="49"/>
      <c r="Z119" s="13">
        <f t="shared" si="32"/>
        <v>141004.80000000002</v>
      </c>
      <c r="AA119" s="13">
        <v>132192</v>
      </c>
      <c r="AB119" s="13">
        <f t="shared" si="35"/>
        <v>102303.96</v>
      </c>
      <c r="AC119" s="14">
        <f t="shared" si="36"/>
        <v>68952</v>
      </c>
    </row>
    <row r="120" spans="1:29" ht="15.95" customHeight="1" x14ac:dyDescent="0.25">
      <c r="A120" s="47">
        <v>118</v>
      </c>
      <c r="B120" s="48">
        <v>3180072</v>
      </c>
      <c r="C120" s="10" t="s">
        <v>116</v>
      </c>
      <c r="D120" s="49">
        <v>70</v>
      </c>
      <c r="E120" s="50">
        <v>345</v>
      </c>
      <c r="F120" s="51">
        <v>0.35</v>
      </c>
      <c r="G120" s="52">
        <f t="shared" si="34"/>
        <v>120.74999999999999</v>
      </c>
      <c r="H120" s="53">
        <f t="shared" si="27"/>
        <v>224.25</v>
      </c>
      <c r="I120" s="49"/>
      <c r="J120" s="55"/>
      <c r="K120" s="56">
        <f t="shared" si="28"/>
        <v>0</v>
      </c>
      <c r="L120" s="57">
        <f t="shared" si="18"/>
        <v>0</v>
      </c>
      <c r="M120" s="64"/>
      <c r="N120" s="49">
        <v>495</v>
      </c>
      <c r="O120" s="59">
        <v>0.36</v>
      </c>
      <c r="P120" s="11">
        <f t="shared" si="30"/>
        <v>178.2</v>
      </c>
      <c r="Q120" s="12">
        <f t="shared" si="31"/>
        <v>316.8</v>
      </c>
      <c r="R120" s="60">
        <v>1</v>
      </c>
      <c r="S120" s="61">
        <v>224.25</v>
      </c>
      <c r="T120" s="62" t="s">
        <v>229</v>
      </c>
      <c r="U120" s="63">
        <f t="shared" si="20"/>
        <v>316.8</v>
      </c>
      <c r="V120" s="11">
        <f t="shared" si="21"/>
        <v>22176</v>
      </c>
      <c r="W120" s="63">
        <f t="shared" si="22"/>
        <v>92.550000000000011</v>
      </c>
      <c r="X120" s="63">
        <f t="shared" si="23"/>
        <v>6478.5000000000009</v>
      </c>
      <c r="Y120" s="49"/>
      <c r="Z120" s="13">
        <f t="shared" si="32"/>
        <v>22176</v>
      </c>
      <c r="AA120" s="13">
        <v>20790</v>
      </c>
      <c r="AB120" s="13">
        <f t="shared" si="35"/>
        <v>0</v>
      </c>
      <c r="AC120" s="14">
        <f t="shared" si="36"/>
        <v>15697.5</v>
      </c>
    </row>
    <row r="121" spans="1:29" ht="15.95" customHeight="1" x14ac:dyDescent="0.25">
      <c r="A121" s="47">
        <v>119</v>
      </c>
      <c r="B121" s="48">
        <v>5645030</v>
      </c>
      <c r="C121" s="10" t="s">
        <v>117</v>
      </c>
      <c r="D121" s="49">
        <v>21</v>
      </c>
      <c r="E121" s="50">
        <v>2700</v>
      </c>
      <c r="F121" s="51">
        <v>0.35</v>
      </c>
      <c r="G121" s="52">
        <f t="shared" si="34"/>
        <v>944.99999999999989</v>
      </c>
      <c r="H121" s="53">
        <f t="shared" si="27"/>
        <v>1755</v>
      </c>
      <c r="I121" s="63">
        <v>3151</v>
      </c>
      <c r="J121" s="55">
        <v>0.53</v>
      </c>
      <c r="K121" s="56">
        <f t="shared" si="28"/>
        <v>1670.03</v>
      </c>
      <c r="L121" s="57">
        <f t="shared" si="18"/>
        <v>1480.97</v>
      </c>
      <c r="M121" s="58">
        <f t="shared" si="19"/>
        <v>-18.503413303443011</v>
      </c>
      <c r="N121" s="49">
        <v>3670</v>
      </c>
      <c r="O121" s="59">
        <v>0.36</v>
      </c>
      <c r="P121" s="11">
        <f t="shared" si="30"/>
        <v>1321.2</v>
      </c>
      <c r="Q121" s="12">
        <f t="shared" si="31"/>
        <v>2348.8000000000002</v>
      </c>
      <c r="R121" s="60">
        <v>1</v>
      </c>
      <c r="S121" s="61">
        <f t="shared" si="29"/>
        <v>1480.97</v>
      </c>
      <c r="T121" s="62" t="s">
        <v>222</v>
      </c>
      <c r="U121" s="63">
        <f t="shared" si="20"/>
        <v>867.83000000000015</v>
      </c>
      <c r="V121" s="11">
        <f t="shared" si="21"/>
        <v>18224.430000000004</v>
      </c>
      <c r="W121" s="63">
        <f t="shared" si="22"/>
        <v>593.80000000000018</v>
      </c>
      <c r="X121" s="63">
        <f t="shared" si="23"/>
        <v>12469.800000000003</v>
      </c>
      <c r="Y121" s="49"/>
      <c r="Z121" s="13">
        <f t="shared" si="32"/>
        <v>49324.800000000003</v>
      </c>
      <c r="AA121" s="13">
        <v>46242</v>
      </c>
      <c r="AB121" s="13">
        <f t="shared" si="35"/>
        <v>31100.37</v>
      </c>
      <c r="AC121" s="14">
        <f t="shared" si="36"/>
        <v>36855</v>
      </c>
    </row>
    <row r="122" spans="1:29" ht="15.95" customHeight="1" x14ac:dyDescent="0.25">
      <c r="A122" s="47">
        <v>120</v>
      </c>
      <c r="B122" s="48">
        <v>4100021</v>
      </c>
      <c r="C122" s="10" t="s">
        <v>118</v>
      </c>
      <c r="D122" s="49">
        <v>5</v>
      </c>
      <c r="E122" s="50">
        <v>160</v>
      </c>
      <c r="F122" s="51">
        <v>0.35</v>
      </c>
      <c r="G122" s="52">
        <f>E122*F122</f>
        <v>56</v>
      </c>
      <c r="H122" s="53">
        <f t="shared" si="27"/>
        <v>104</v>
      </c>
      <c r="I122" s="63">
        <v>174.1</v>
      </c>
      <c r="J122" s="55">
        <v>0.53</v>
      </c>
      <c r="K122" s="56">
        <f t="shared" si="28"/>
        <v>92.272999999999996</v>
      </c>
      <c r="L122" s="57">
        <f t="shared" si="18"/>
        <v>81.826999999999998</v>
      </c>
      <c r="M122" s="58">
        <f t="shared" si="19"/>
        <v>-27.097412834394518</v>
      </c>
      <c r="N122" s="49">
        <v>290</v>
      </c>
      <c r="O122" s="59">
        <v>0.36</v>
      </c>
      <c r="P122" s="11">
        <f t="shared" si="30"/>
        <v>104.39999999999999</v>
      </c>
      <c r="Q122" s="12">
        <f t="shared" si="31"/>
        <v>185.60000000000002</v>
      </c>
      <c r="R122" s="60">
        <v>1</v>
      </c>
      <c r="S122" s="61">
        <f t="shared" si="29"/>
        <v>81.826999999999998</v>
      </c>
      <c r="T122" s="62" t="s">
        <v>222</v>
      </c>
      <c r="U122" s="63">
        <f t="shared" si="20"/>
        <v>103.77300000000002</v>
      </c>
      <c r="V122" s="11">
        <f t="shared" si="21"/>
        <v>518.86500000000012</v>
      </c>
      <c r="W122" s="63">
        <f t="shared" si="22"/>
        <v>81.600000000000023</v>
      </c>
      <c r="X122" s="63">
        <f t="shared" si="23"/>
        <v>408.00000000000011</v>
      </c>
      <c r="Y122" s="49"/>
      <c r="Z122" s="13">
        <f t="shared" si="32"/>
        <v>928.00000000000011</v>
      </c>
      <c r="AA122" s="13">
        <v>870</v>
      </c>
      <c r="AB122" s="13">
        <f t="shared" si="35"/>
        <v>409.13499999999999</v>
      </c>
      <c r="AC122" s="14">
        <f t="shared" si="36"/>
        <v>520</v>
      </c>
    </row>
    <row r="123" spans="1:29" ht="15.95" customHeight="1" x14ac:dyDescent="0.25">
      <c r="A123" s="47">
        <v>121</v>
      </c>
      <c r="B123" s="48">
        <v>7101001</v>
      </c>
      <c r="C123" s="10" t="s">
        <v>173</v>
      </c>
      <c r="D123" s="49">
        <v>33</v>
      </c>
      <c r="E123" s="50">
        <v>0</v>
      </c>
      <c r="F123" s="51"/>
      <c r="G123" s="52"/>
      <c r="H123" s="53">
        <f t="shared" si="27"/>
        <v>0</v>
      </c>
      <c r="I123" s="63">
        <v>399.1</v>
      </c>
      <c r="J123" s="55">
        <v>0.53</v>
      </c>
      <c r="K123" s="56">
        <f t="shared" si="28"/>
        <v>211.52300000000002</v>
      </c>
      <c r="L123" s="57">
        <f t="shared" si="18"/>
        <v>187.577</v>
      </c>
      <c r="M123" s="58">
        <f t="shared" si="19"/>
        <v>100</v>
      </c>
      <c r="N123" s="49">
        <v>415</v>
      </c>
      <c r="O123" s="59">
        <v>0.36</v>
      </c>
      <c r="P123" s="11">
        <f t="shared" si="30"/>
        <v>149.4</v>
      </c>
      <c r="Q123" s="12">
        <f t="shared" si="31"/>
        <v>265.60000000000002</v>
      </c>
      <c r="R123" s="60">
        <v>1</v>
      </c>
      <c r="S123" s="61">
        <v>187.58</v>
      </c>
      <c r="T123" s="62" t="s">
        <v>222</v>
      </c>
      <c r="U123" s="63">
        <f t="shared" si="20"/>
        <v>78.023000000000025</v>
      </c>
      <c r="V123" s="11">
        <f t="shared" si="21"/>
        <v>2574.7590000000009</v>
      </c>
      <c r="W123" s="63">
        <f t="shared" si="22"/>
        <v>265.60000000000002</v>
      </c>
      <c r="X123" s="63">
        <f t="shared" si="23"/>
        <v>8764.8000000000011</v>
      </c>
      <c r="Y123" s="49"/>
      <c r="Z123" s="13">
        <f t="shared" si="32"/>
        <v>8764.8000000000011</v>
      </c>
      <c r="AA123" s="13">
        <v>8217</v>
      </c>
      <c r="AB123" s="13">
        <f t="shared" si="35"/>
        <v>6190.0410000000002</v>
      </c>
      <c r="AC123" s="14">
        <f t="shared" si="36"/>
        <v>0</v>
      </c>
    </row>
    <row r="124" spans="1:29" ht="15.95" customHeight="1" x14ac:dyDescent="0.25">
      <c r="A124" s="47">
        <v>122</v>
      </c>
      <c r="B124" s="48">
        <v>7101002</v>
      </c>
      <c r="C124" s="10" t="s">
        <v>119</v>
      </c>
      <c r="D124" s="49">
        <v>49</v>
      </c>
      <c r="E124" s="50">
        <v>230</v>
      </c>
      <c r="F124" s="51">
        <v>0.35</v>
      </c>
      <c r="G124" s="52">
        <f t="shared" ref="G124:G130" si="37">E124*F124</f>
        <v>80.5</v>
      </c>
      <c r="H124" s="53">
        <f t="shared" si="27"/>
        <v>149.5</v>
      </c>
      <c r="I124" s="63">
        <v>448.2</v>
      </c>
      <c r="J124" s="55">
        <v>0.53</v>
      </c>
      <c r="K124" s="56">
        <f t="shared" si="28"/>
        <v>237.54599999999999</v>
      </c>
      <c r="L124" s="57">
        <f t="shared" si="18"/>
        <v>210.654</v>
      </c>
      <c r="M124" s="58">
        <f t="shared" si="19"/>
        <v>29.030542975685247</v>
      </c>
      <c r="N124" s="49">
        <v>465</v>
      </c>
      <c r="O124" s="59">
        <v>0.36</v>
      </c>
      <c r="P124" s="11">
        <f t="shared" si="30"/>
        <v>167.4</v>
      </c>
      <c r="Q124" s="12">
        <f t="shared" si="31"/>
        <v>297.60000000000002</v>
      </c>
      <c r="R124" s="60">
        <v>1</v>
      </c>
      <c r="S124" s="61">
        <f t="shared" si="29"/>
        <v>149.5</v>
      </c>
      <c r="T124" s="62" t="s">
        <v>229</v>
      </c>
      <c r="U124" s="63">
        <f t="shared" si="20"/>
        <v>86.946000000000026</v>
      </c>
      <c r="V124" s="11">
        <f t="shared" si="21"/>
        <v>4260.3540000000012</v>
      </c>
      <c r="W124" s="63">
        <f t="shared" si="22"/>
        <v>148.10000000000002</v>
      </c>
      <c r="X124" s="63">
        <f t="shared" si="23"/>
        <v>7256.9000000000015</v>
      </c>
      <c r="Y124" s="49"/>
      <c r="Z124" s="13">
        <f t="shared" si="32"/>
        <v>14582.400000000001</v>
      </c>
      <c r="AA124" s="13">
        <v>13671</v>
      </c>
      <c r="AB124" s="13">
        <f t="shared" si="35"/>
        <v>10322.046</v>
      </c>
      <c r="AC124" s="14">
        <f t="shared" si="36"/>
        <v>7325.5</v>
      </c>
    </row>
    <row r="125" spans="1:29" ht="15.95" customHeight="1" x14ac:dyDescent="0.25">
      <c r="A125" s="47">
        <v>123</v>
      </c>
      <c r="B125" s="48">
        <v>7101003</v>
      </c>
      <c r="C125" s="10" t="s">
        <v>120</v>
      </c>
      <c r="D125" s="49">
        <v>22</v>
      </c>
      <c r="E125" s="50">
        <v>250</v>
      </c>
      <c r="F125" s="51">
        <v>0.35</v>
      </c>
      <c r="G125" s="52">
        <f t="shared" si="37"/>
        <v>87.5</v>
      </c>
      <c r="H125" s="53">
        <f t="shared" si="27"/>
        <v>162.5</v>
      </c>
      <c r="I125" s="63">
        <v>473.5</v>
      </c>
      <c r="J125" s="55">
        <v>0.53</v>
      </c>
      <c r="K125" s="56">
        <f t="shared" si="28"/>
        <v>250.95500000000001</v>
      </c>
      <c r="L125" s="57">
        <f t="shared" si="18"/>
        <v>222.54499999999999</v>
      </c>
      <c r="M125" s="58">
        <f t="shared" si="19"/>
        <v>26.981060010334986</v>
      </c>
      <c r="N125" s="49">
        <v>490</v>
      </c>
      <c r="O125" s="59">
        <v>0.36</v>
      </c>
      <c r="P125" s="11">
        <f t="shared" si="30"/>
        <v>176.4</v>
      </c>
      <c r="Q125" s="12">
        <f t="shared" si="31"/>
        <v>313.60000000000002</v>
      </c>
      <c r="R125" s="60">
        <v>1</v>
      </c>
      <c r="S125" s="61">
        <f t="shared" si="29"/>
        <v>162.5</v>
      </c>
      <c r="T125" s="62" t="s">
        <v>229</v>
      </c>
      <c r="U125" s="63">
        <f t="shared" si="20"/>
        <v>91.055000000000035</v>
      </c>
      <c r="V125" s="11">
        <f t="shared" si="21"/>
        <v>2003.2100000000007</v>
      </c>
      <c r="W125" s="63">
        <f t="shared" si="22"/>
        <v>151.10000000000002</v>
      </c>
      <c r="X125" s="63">
        <f t="shared" si="23"/>
        <v>3324.2000000000007</v>
      </c>
      <c r="Y125" s="49"/>
      <c r="Z125" s="13">
        <f t="shared" si="32"/>
        <v>6899.2000000000007</v>
      </c>
      <c r="AA125" s="13">
        <v>6468</v>
      </c>
      <c r="AB125" s="13">
        <f t="shared" si="35"/>
        <v>4895.99</v>
      </c>
      <c r="AC125" s="14">
        <f t="shared" si="36"/>
        <v>3575</v>
      </c>
    </row>
    <row r="126" spans="1:29" ht="15.95" customHeight="1" x14ac:dyDescent="0.25">
      <c r="A126" s="47">
        <v>124</v>
      </c>
      <c r="B126" s="48">
        <v>7101003</v>
      </c>
      <c r="C126" s="10" t="s">
        <v>121</v>
      </c>
      <c r="D126" s="49">
        <v>22</v>
      </c>
      <c r="E126" s="50">
        <v>250</v>
      </c>
      <c r="F126" s="51">
        <v>0.35</v>
      </c>
      <c r="G126" s="52">
        <f t="shared" si="37"/>
        <v>87.5</v>
      </c>
      <c r="H126" s="53">
        <f t="shared" si="27"/>
        <v>162.5</v>
      </c>
      <c r="I126" s="63">
        <v>473.5</v>
      </c>
      <c r="J126" s="55">
        <v>0.53</v>
      </c>
      <c r="K126" s="56">
        <f t="shared" si="28"/>
        <v>250.95500000000001</v>
      </c>
      <c r="L126" s="57">
        <f t="shared" si="18"/>
        <v>222.54499999999999</v>
      </c>
      <c r="M126" s="58">
        <f t="shared" si="19"/>
        <v>26.981060010334986</v>
      </c>
      <c r="N126" s="49">
        <v>490</v>
      </c>
      <c r="O126" s="59">
        <v>0.36</v>
      </c>
      <c r="P126" s="11">
        <f t="shared" si="30"/>
        <v>176.4</v>
      </c>
      <c r="Q126" s="12">
        <f t="shared" si="31"/>
        <v>313.60000000000002</v>
      </c>
      <c r="R126" s="60">
        <v>1</v>
      </c>
      <c r="S126" s="61">
        <f t="shared" si="29"/>
        <v>162.5</v>
      </c>
      <c r="T126" s="62" t="s">
        <v>229</v>
      </c>
      <c r="U126" s="63">
        <f t="shared" si="20"/>
        <v>91.055000000000035</v>
      </c>
      <c r="V126" s="11">
        <f t="shared" si="21"/>
        <v>2003.2100000000007</v>
      </c>
      <c r="W126" s="63">
        <f t="shared" si="22"/>
        <v>151.10000000000002</v>
      </c>
      <c r="X126" s="63">
        <f t="shared" si="23"/>
        <v>3324.2000000000007</v>
      </c>
      <c r="Y126" s="49"/>
      <c r="Z126" s="13">
        <f t="shared" si="32"/>
        <v>6899.2000000000007</v>
      </c>
      <c r="AA126" s="13">
        <v>6468</v>
      </c>
      <c r="AB126" s="13">
        <f t="shared" si="35"/>
        <v>4895.99</v>
      </c>
      <c r="AC126" s="14">
        <f t="shared" si="36"/>
        <v>3575</v>
      </c>
    </row>
    <row r="127" spans="1:29" ht="15.95" customHeight="1" x14ac:dyDescent="0.25">
      <c r="A127" s="47">
        <v>125</v>
      </c>
      <c r="B127" s="48">
        <v>2121009</v>
      </c>
      <c r="C127" s="10" t="s">
        <v>122</v>
      </c>
      <c r="D127" s="49">
        <v>5</v>
      </c>
      <c r="E127" s="50">
        <v>950</v>
      </c>
      <c r="F127" s="51">
        <v>0.35</v>
      </c>
      <c r="G127" s="52">
        <f t="shared" si="37"/>
        <v>332.5</v>
      </c>
      <c r="H127" s="53">
        <f t="shared" si="27"/>
        <v>617.5</v>
      </c>
      <c r="I127" s="63">
        <v>4468</v>
      </c>
      <c r="J127" s="55">
        <v>0.53</v>
      </c>
      <c r="K127" s="56">
        <f t="shared" si="28"/>
        <v>2368.04</v>
      </c>
      <c r="L127" s="57">
        <f t="shared" ref="L127:L169" si="38">I127-K127</f>
        <v>2099.96</v>
      </c>
      <c r="M127" s="58">
        <f t="shared" ref="M127:M169" si="39">(L127-H127)*100/L127</f>
        <v>70.594677993866554</v>
      </c>
      <c r="N127" s="49">
        <v>2320</v>
      </c>
      <c r="O127" s="59">
        <v>0.36</v>
      </c>
      <c r="P127" s="11">
        <f t="shared" si="30"/>
        <v>835.19999999999993</v>
      </c>
      <c r="Q127" s="12">
        <f t="shared" si="31"/>
        <v>1484.8000000000002</v>
      </c>
      <c r="R127" s="60">
        <v>1</v>
      </c>
      <c r="S127" s="61">
        <f t="shared" si="29"/>
        <v>617.5</v>
      </c>
      <c r="T127" s="62" t="s">
        <v>229</v>
      </c>
      <c r="U127" s="63">
        <f t="shared" ref="U127:U169" si="40">Q127-L127</f>
        <v>-615.15999999999985</v>
      </c>
      <c r="V127" s="11">
        <f t="shared" ref="V127:V169" si="41">U127*D127</f>
        <v>-3075.7999999999993</v>
      </c>
      <c r="W127" s="63">
        <f t="shared" ref="W127:W169" si="42">Q127-H127</f>
        <v>867.30000000000018</v>
      </c>
      <c r="X127" s="63">
        <f t="shared" ref="X127:X169" si="43">W127*D127</f>
        <v>4336.5000000000009</v>
      </c>
      <c r="Y127" s="49"/>
      <c r="Z127" s="13">
        <f t="shared" si="32"/>
        <v>7424.0000000000009</v>
      </c>
      <c r="AA127" s="13">
        <v>6960</v>
      </c>
      <c r="AB127" s="13">
        <f t="shared" ref="AB127:AB147" si="44">L127*D127</f>
        <v>10499.8</v>
      </c>
      <c r="AC127" s="14">
        <f t="shared" ref="AC127:AC147" si="45">H127*D127</f>
        <v>3087.5</v>
      </c>
    </row>
    <row r="128" spans="1:29" ht="15.95" customHeight="1" x14ac:dyDescent="0.25">
      <c r="A128" s="47">
        <v>126</v>
      </c>
      <c r="B128" s="48">
        <v>2121012</v>
      </c>
      <c r="C128" s="10" t="s">
        <v>123</v>
      </c>
      <c r="D128" s="49">
        <v>2</v>
      </c>
      <c r="E128" s="50">
        <v>1000</v>
      </c>
      <c r="F128" s="51">
        <v>0.35</v>
      </c>
      <c r="G128" s="52">
        <f t="shared" si="37"/>
        <v>350</v>
      </c>
      <c r="H128" s="53">
        <f t="shared" ref="H128:H170" si="46">E128-G128</f>
        <v>650</v>
      </c>
      <c r="I128" s="63">
        <v>5096</v>
      </c>
      <c r="J128" s="55">
        <v>0.53</v>
      </c>
      <c r="K128" s="56">
        <f t="shared" ref="K128:K170" si="47">I128*J128</f>
        <v>2700.88</v>
      </c>
      <c r="L128" s="57">
        <f t="shared" si="38"/>
        <v>2395.12</v>
      </c>
      <c r="M128" s="58">
        <f t="shared" si="39"/>
        <v>72.861485019539728</v>
      </c>
      <c r="N128" s="49">
        <v>2640</v>
      </c>
      <c r="O128" s="59">
        <v>0.36</v>
      </c>
      <c r="P128" s="11">
        <f t="shared" si="30"/>
        <v>950.4</v>
      </c>
      <c r="Q128" s="12">
        <f t="shared" si="31"/>
        <v>1689.6</v>
      </c>
      <c r="R128" s="60">
        <v>1</v>
      </c>
      <c r="S128" s="61">
        <f t="shared" ref="S128:S170" si="48">MIN(H128,L128,Q128)</f>
        <v>650</v>
      </c>
      <c r="T128" s="62" t="s">
        <v>229</v>
      </c>
      <c r="U128" s="63">
        <f t="shared" si="40"/>
        <v>-705.52</v>
      </c>
      <c r="V128" s="11">
        <f t="shared" si="41"/>
        <v>-1411.04</v>
      </c>
      <c r="W128" s="63">
        <f t="shared" si="42"/>
        <v>1039.5999999999999</v>
      </c>
      <c r="X128" s="63">
        <f t="shared" si="43"/>
        <v>2079.1999999999998</v>
      </c>
      <c r="Y128" s="49"/>
      <c r="Z128" s="13">
        <f t="shared" si="32"/>
        <v>3379.2</v>
      </c>
      <c r="AA128" s="13">
        <v>3168</v>
      </c>
      <c r="AB128" s="13">
        <f t="shared" si="44"/>
        <v>4790.24</v>
      </c>
      <c r="AC128" s="14">
        <f t="shared" si="45"/>
        <v>1300</v>
      </c>
    </row>
    <row r="129" spans="1:29" ht="15.95" customHeight="1" x14ac:dyDescent="0.25">
      <c r="A129" s="47">
        <v>127</v>
      </c>
      <c r="B129" s="48">
        <v>3021006</v>
      </c>
      <c r="C129" s="10" t="s">
        <v>124</v>
      </c>
      <c r="D129" s="49">
        <v>27</v>
      </c>
      <c r="E129" s="50">
        <v>400</v>
      </c>
      <c r="F129" s="51">
        <v>0.35</v>
      </c>
      <c r="G129" s="52">
        <f t="shared" si="37"/>
        <v>140</v>
      </c>
      <c r="H129" s="53">
        <f t="shared" si="46"/>
        <v>260</v>
      </c>
      <c r="I129" s="63">
        <v>719</v>
      </c>
      <c r="J129" s="55">
        <v>0.53</v>
      </c>
      <c r="K129" s="56">
        <f t="shared" si="47"/>
        <v>381.07</v>
      </c>
      <c r="L129" s="57">
        <f t="shared" si="38"/>
        <v>337.93</v>
      </c>
      <c r="M129" s="58">
        <f t="shared" si="39"/>
        <v>23.060988962211113</v>
      </c>
      <c r="N129" s="49">
        <v>635</v>
      </c>
      <c r="O129" s="59">
        <v>0.36</v>
      </c>
      <c r="P129" s="11">
        <f t="shared" ref="P129:P171" si="49">N129*O129</f>
        <v>228.6</v>
      </c>
      <c r="Q129" s="12">
        <f t="shared" ref="Q129:Q171" si="50">N129-P129</f>
        <v>406.4</v>
      </c>
      <c r="R129" s="60">
        <v>1</v>
      </c>
      <c r="S129" s="61">
        <f t="shared" si="48"/>
        <v>260</v>
      </c>
      <c r="T129" s="62" t="s">
        <v>229</v>
      </c>
      <c r="U129" s="63">
        <f t="shared" si="40"/>
        <v>68.46999999999997</v>
      </c>
      <c r="V129" s="11">
        <f t="shared" si="41"/>
        <v>1848.6899999999991</v>
      </c>
      <c r="W129" s="63">
        <f t="shared" si="42"/>
        <v>146.39999999999998</v>
      </c>
      <c r="X129" s="63">
        <f t="shared" si="43"/>
        <v>3952.7999999999993</v>
      </c>
      <c r="Y129" s="49"/>
      <c r="Z129" s="13">
        <f t="shared" si="32"/>
        <v>10972.8</v>
      </c>
      <c r="AA129" s="13">
        <v>10287</v>
      </c>
      <c r="AB129" s="13">
        <f t="shared" si="44"/>
        <v>9124.11</v>
      </c>
      <c r="AC129" s="14">
        <f t="shared" si="45"/>
        <v>7020</v>
      </c>
    </row>
    <row r="130" spans="1:29" ht="15.95" customHeight="1" x14ac:dyDescent="0.25">
      <c r="A130" s="47">
        <v>128</v>
      </c>
      <c r="B130" s="48">
        <v>3021021</v>
      </c>
      <c r="C130" s="10" t="s">
        <v>125</v>
      </c>
      <c r="D130" s="49">
        <v>4</v>
      </c>
      <c r="E130" s="50">
        <v>890</v>
      </c>
      <c r="F130" s="51">
        <v>0.35</v>
      </c>
      <c r="G130" s="52">
        <f t="shared" si="37"/>
        <v>311.5</v>
      </c>
      <c r="H130" s="53">
        <f t="shared" si="46"/>
        <v>578.5</v>
      </c>
      <c r="I130" s="63">
        <v>1587</v>
      </c>
      <c r="J130" s="55">
        <v>0.53</v>
      </c>
      <c r="K130" s="56">
        <f t="shared" si="47"/>
        <v>841.11</v>
      </c>
      <c r="L130" s="57">
        <f t="shared" si="38"/>
        <v>745.89</v>
      </c>
      <c r="M130" s="58">
        <f t="shared" si="39"/>
        <v>22.441646891632814</v>
      </c>
      <c r="N130" s="49">
        <v>1480</v>
      </c>
      <c r="O130" s="59">
        <v>0.36</v>
      </c>
      <c r="P130" s="11">
        <f t="shared" si="49"/>
        <v>532.79999999999995</v>
      </c>
      <c r="Q130" s="12">
        <f t="shared" si="50"/>
        <v>947.2</v>
      </c>
      <c r="R130" s="60">
        <v>1</v>
      </c>
      <c r="S130" s="61">
        <f t="shared" si="48"/>
        <v>578.5</v>
      </c>
      <c r="T130" s="62" t="s">
        <v>229</v>
      </c>
      <c r="U130" s="63">
        <f t="shared" si="40"/>
        <v>201.31000000000006</v>
      </c>
      <c r="V130" s="11">
        <f t="shared" si="41"/>
        <v>805.24000000000024</v>
      </c>
      <c r="W130" s="63">
        <f t="shared" si="42"/>
        <v>368.70000000000005</v>
      </c>
      <c r="X130" s="63">
        <f t="shared" si="43"/>
        <v>1474.8000000000002</v>
      </c>
      <c r="Y130" s="49"/>
      <c r="Z130" s="13">
        <f t="shared" si="32"/>
        <v>3788.8</v>
      </c>
      <c r="AA130" s="13">
        <v>3552</v>
      </c>
      <c r="AB130" s="13">
        <f t="shared" si="44"/>
        <v>2983.56</v>
      </c>
      <c r="AC130" s="14">
        <f t="shared" si="45"/>
        <v>2314</v>
      </c>
    </row>
    <row r="131" spans="1:29" ht="15.95" customHeight="1" x14ac:dyDescent="0.25">
      <c r="A131" s="47">
        <v>129</v>
      </c>
      <c r="B131" s="48">
        <v>7200002</v>
      </c>
      <c r="C131" s="10" t="s">
        <v>206</v>
      </c>
      <c r="D131" s="49">
        <v>9</v>
      </c>
      <c r="E131" s="50">
        <v>0</v>
      </c>
      <c r="F131" s="51"/>
      <c r="G131" s="52"/>
      <c r="H131" s="53">
        <f t="shared" si="46"/>
        <v>0</v>
      </c>
      <c r="I131" s="63">
        <v>246.1</v>
      </c>
      <c r="J131" s="55">
        <v>0.53</v>
      </c>
      <c r="K131" s="56">
        <f t="shared" si="47"/>
        <v>130.43299999999999</v>
      </c>
      <c r="L131" s="57">
        <f t="shared" si="38"/>
        <v>115.667</v>
      </c>
      <c r="M131" s="58">
        <f t="shared" si="39"/>
        <v>100</v>
      </c>
      <c r="N131" s="49">
        <v>255</v>
      </c>
      <c r="O131" s="59">
        <v>0.36</v>
      </c>
      <c r="P131" s="11">
        <f t="shared" si="49"/>
        <v>91.8</v>
      </c>
      <c r="Q131" s="12">
        <f t="shared" si="50"/>
        <v>163.19999999999999</v>
      </c>
      <c r="R131" s="60">
        <v>1</v>
      </c>
      <c r="S131" s="61">
        <v>115.67</v>
      </c>
      <c r="T131" s="62" t="s">
        <v>222</v>
      </c>
      <c r="U131" s="63">
        <f t="shared" si="40"/>
        <v>47.532999999999987</v>
      </c>
      <c r="V131" s="11">
        <f t="shared" si="41"/>
        <v>427.79699999999991</v>
      </c>
      <c r="W131" s="63">
        <f t="shared" si="42"/>
        <v>163.19999999999999</v>
      </c>
      <c r="X131" s="63">
        <f t="shared" si="43"/>
        <v>1468.8</v>
      </c>
      <c r="Y131" s="49"/>
      <c r="Z131" s="13">
        <f t="shared" si="32"/>
        <v>1468.8</v>
      </c>
      <c r="AA131" s="13">
        <v>1377</v>
      </c>
      <c r="AB131" s="13">
        <f t="shared" si="44"/>
        <v>1041.0029999999999</v>
      </c>
      <c r="AC131" s="14">
        <f t="shared" si="45"/>
        <v>0</v>
      </c>
    </row>
    <row r="132" spans="1:29" ht="15.95" customHeight="1" x14ac:dyDescent="0.25">
      <c r="A132" s="47">
        <v>130</v>
      </c>
      <c r="B132" s="48">
        <v>3021016</v>
      </c>
      <c r="C132" s="10" t="s">
        <v>126</v>
      </c>
      <c r="D132" s="49">
        <v>4</v>
      </c>
      <c r="E132" s="50">
        <v>600</v>
      </c>
      <c r="F132" s="51">
        <v>0.35</v>
      </c>
      <c r="G132" s="52">
        <f t="shared" ref="G132:G135" si="51">E132*F132</f>
        <v>210</v>
      </c>
      <c r="H132" s="53">
        <f t="shared" si="46"/>
        <v>390</v>
      </c>
      <c r="I132" s="63">
        <v>1090.5</v>
      </c>
      <c r="J132" s="55">
        <v>0.53</v>
      </c>
      <c r="K132" s="56">
        <f t="shared" si="47"/>
        <v>577.96500000000003</v>
      </c>
      <c r="L132" s="57">
        <f t="shared" si="38"/>
        <v>512.53499999999997</v>
      </c>
      <c r="M132" s="58">
        <f t="shared" si="39"/>
        <v>23.907635576106991</v>
      </c>
      <c r="N132" s="49">
        <v>1005</v>
      </c>
      <c r="O132" s="59">
        <v>0.36</v>
      </c>
      <c r="P132" s="11">
        <f t="shared" si="49"/>
        <v>361.8</v>
      </c>
      <c r="Q132" s="12">
        <f t="shared" si="50"/>
        <v>643.20000000000005</v>
      </c>
      <c r="R132" s="60">
        <v>1</v>
      </c>
      <c r="S132" s="61">
        <f t="shared" si="48"/>
        <v>390</v>
      </c>
      <c r="T132" s="62" t="s">
        <v>229</v>
      </c>
      <c r="U132" s="63">
        <f t="shared" si="40"/>
        <v>130.66500000000008</v>
      </c>
      <c r="V132" s="11">
        <f t="shared" si="41"/>
        <v>522.66000000000031</v>
      </c>
      <c r="W132" s="63">
        <f t="shared" si="42"/>
        <v>253.20000000000005</v>
      </c>
      <c r="X132" s="63">
        <f t="shared" si="43"/>
        <v>1012.8000000000002</v>
      </c>
      <c r="Y132" s="49"/>
      <c r="Z132" s="13">
        <f t="shared" si="32"/>
        <v>2572.8000000000002</v>
      </c>
      <c r="AA132" s="13">
        <v>2412</v>
      </c>
      <c r="AB132" s="13">
        <f t="shared" si="44"/>
        <v>2050.14</v>
      </c>
      <c r="AC132" s="14">
        <f t="shared" si="45"/>
        <v>1560</v>
      </c>
    </row>
    <row r="133" spans="1:29" ht="15.95" customHeight="1" x14ac:dyDescent="0.25">
      <c r="A133" s="47">
        <v>131</v>
      </c>
      <c r="B133" s="48">
        <v>3021009</v>
      </c>
      <c r="C133" s="10" t="s">
        <v>127</v>
      </c>
      <c r="D133" s="49">
        <v>17</v>
      </c>
      <c r="E133" s="50">
        <v>425</v>
      </c>
      <c r="F133" s="51">
        <v>0.35</v>
      </c>
      <c r="G133" s="52">
        <f t="shared" si="51"/>
        <v>148.75</v>
      </c>
      <c r="H133" s="53">
        <f t="shared" si="46"/>
        <v>276.25</v>
      </c>
      <c r="I133" s="63">
        <v>828.5</v>
      </c>
      <c r="J133" s="55">
        <v>0.53</v>
      </c>
      <c r="K133" s="56">
        <f t="shared" si="47"/>
        <v>439.10500000000002</v>
      </c>
      <c r="L133" s="57">
        <f t="shared" si="38"/>
        <v>389.39499999999998</v>
      </c>
      <c r="M133" s="58">
        <f t="shared" si="39"/>
        <v>29.056613464476943</v>
      </c>
      <c r="N133" s="49">
        <v>730</v>
      </c>
      <c r="O133" s="59">
        <v>0.36</v>
      </c>
      <c r="P133" s="11">
        <f t="shared" si="49"/>
        <v>262.8</v>
      </c>
      <c r="Q133" s="12">
        <f t="shared" si="50"/>
        <v>467.2</v>
      </c>
      <c r="R133" s="60">
        <v>1</v>
      </c>
      <c r="S133" s="61">
        <f t="shared" si="48"/>
        <v>276.25</v>
      </c>
      <c r="T133" s="62" t="s">
        <v>229</v>
      </c>
      <c r="U133" s="63">
        <f t="shared" si="40"/>
        <v>77.805000000000007</v>
      </c>
      <c r="V133" s="11">
        <f t="shared" si="41"/>
        <v>1322.6850000000002</v>
      </c>
      <c r="W133" s="63">
        <f t="shared" si="42"/>
        <v>190.95</v>
      </c>
      <c r="X133" s="63">
        <f t="shared" si="43"/>
        <v>3246.1499999999996</v>
      </c>
      <c r="Y133" s="49"/>
      <c r="Z133" s="13">
        <f t="shared" ref="Z133:Z180" si="52">Q133*D133</f>
        <v>7942.4</v>
      </c>
      <c r="AA133" s="13">
        <v>7446</v>
      </c>
      <c r="AB133" s="13">
        <f t="shared" si="44"/>
        <v>6619.7150000000001</v>
      </c>
      <c r="AC133" s="14">
        <f t="shared" si="45"/>
        <v>4696.25</v>
      </c>
    </row>
    <row r="134" spans="1:29" ht="15.95" customHeight="1" x14ac:dyDescent="0.25">
      <c r="A134" s="47">
        <v>132</v>
      </c>
      <c r="B134" s="48">
        <v>3021005</v>
      </c>
      <c r="C134" s="10" t="s">
        <v>128</v>
      </c>
      <c r="D134" s="49">
        <v>10</v>
      </c>
      <c r="E134" s="50">
        <v>350</v>
      </c>
      <c r="F134" s="51">
        <v>0.35</v>
      </c>
      <c r="G134" s="52">
        <f t="shared" si="51"/>
        <v>122.49999999999999</v>
      </c>
      <c r="H134" s="53">
        <f t="shared" si="46"/>
        <v>227.5</v>
      </c>
      <c r="I134" s="63">
        <v>636</v>
      </c>
      <c r="J134" s="55">
        <v>0.53</v>
      </c>
      <c r="K134" s="56">
        <f t="shared" si="47"/>
        <v>337.08000000000004</v>
      </c>
      <c r="L134" s="57">
        <f t="shared" si="38"/>
        <v>298.91999999999996</v>
      </c>
      <c r="M134" s="58">
        <f t="shared" si="39"/>
        <v>23.892680315803549</v>
      </c>
      <c r="N134" s="49">
        <v>555</v>
      </c>
      <c r="O134" s="59">
        <v>0.36</v>
      </c>
      <c r="P134" s="11">
        <f t="shared" si="49"/>
        <v>199.79999999999998</v>
      </c>
      <c r="Q134" s="12">
        <f t="shared" si="50"/>
        <v>355.20000000000005</v>
      </c>
      <c r="R134" s="60">
        <v>1</v>
      </c>
      <c r="S134" s="61">
        <f t="shared" si="48"/>
        <v>227.5</v>
      </c>
      <c r="T134" s="62" t="s">
        <v>229</v>
      </c>
      <c r="U134" s="63">
        <f t="shared" si="40"/>
        <v>56.280000000000086</v>
      </c>
      <c r="V134" s="11">
        <f t="shared" si="41"/>
        <v>562.80000000000086</v>
      </c>
      <c r="W134" s="63">
        <f t="shared" si="42"/>
        <v>127.70000000000005</v>
      </c>
      <c r="X134" s="63">
        <f t="shared" si="43"/>
        <v>1277.0000000000005</v>
      </c>
      <c r="Y134" s="49"/>
      <c r="Z134" s="13">
        <f t="shared" si="52"/>
        <v>3552.0000000000005</v>
      </c>
      <c r="AA134" s="13">
        <v>3330</v>
      </c>
      <c r="AB134" s="13">
        <f t="shared" si="44"/>
        <v>2989.2</v>
      </c>
      <c r="AC134" s="14">
        <f t="shared" si="45"/>
        <v>2275</v>
      </c>
    </row>
    <row r="135" spans="1:29" ht="15.95" customHeight="1" x14ac:dyDescent="0.25">
      <c r="A135" s="47">
        <v>133</v>
      </c>
      <c r="B135" s="48">
        <v>6402013</v>
      </c>
      <c r="C135" s="10" t="s">
        <v>129</v>
      </c>
      <c r="D135" s="49">
        <v>43</v>
      </c>
      <c r="E135" s="50">
        <v>600</v>
      </c>
      <c r="F135" s="51">
        <v>0.35</v>
      </c>
      <c r="G135" s="52">
        <f t="shared" si="51"/>
        <v>210</v>
      </c>
      <c r="H135" s="53">
        <f t="shared" si="46"/>
        <v>390</v>
      </c>
      <c r="I135" s="63">
        <v>1259</v>
      </c>
      <c r="J135" s="55">
        <v>0.53</v>
      </c>
      <c r="K135" s="56">
        <f t="shared" si="47"/>
        <v>667.27</v>
      </c>
      <c r="L135" s="57">
        <f t="shared" si="38"/>
        <v>591.73</v>
      </c>
      <c r="M135" s="58">
        <f t="shared" si="39"/>
        <v>34.09156202997989</v>
      </c>
      <c r="N135" s="49">
        <v>1080</v>
      </c>
      <c r="O135" s="59">
        <v>0.36</v>
      </c>
      <c r="P135" s="11">
        <f t="shared" si="49"/>
        <v>388.8</v>
      </c>
      <c r="Q135" s="12">
        <f t="shared" si="50"/>
        <v>691.2</v>
      </c>
      <c r="R135" s="60">
        <v>1</v>
      </c>
      <c r="S135" s="61">
        <f t="shared" si="48"/>
        <v>390</v>
      </c>
      <c r="T135" s="62" t="s">
        <v>229</v>
      </c>
      <c r="U135" s="63">
        <f t="shared" si="40"/>
        <v>99.470000000000027</v>
      </c>
      <c r="V135" s="11">
        <f t="shared" si="41"/>
        <v>4277.2100000000009</v>
      </c>
      <c r="W135" s="63">
        <f t="shared" si="42"/>
        <v>301.20000000000005</v>
      </c>
      <c r="X135" s="63">
        <f t="shared" si="43"/>
        <v>12951.600000000002</v>
      </c>
      <c r="Y135" s="49"/>
      <c r="Z135" s="13">
        <f t="shared" si="52"/>
        <v>29721.600000000002</v>
      </c>
      <c r="AA135" s="13">
        <v>27864</v>
      </c>
      <c r="AB135" s="13">
        <f t="shared" si="44"/>
        <v>25444.39</v>
      </c>
      <c r="AC135" s="14">
        <f t="shared" si="45"/>
        <v>16770</v>
      </c>
    </row>
    <row r="136" spans="1:29" ht="15.95" customHeight="1" x14ac:dyDescent="0.25">
      <c r="A136" s="47">
        <v>134</v>
      </c>
      <c r="B136" s="48" t="s">
        <v>187</v>
      </c>
      <c r="C136" s="10" t="s">
        <v>196</v>
      </c>
      <c r="D136" s="49">
        <v>5</v>
      </c>
      <c r="E136" s="50">
        <v>345</v>
      </c>
      <c r="F136" s="51">
        <v>0.35</v>
      </c>
      <c r="G136" s="52">
        <f>E136*F136</f>
        <v>120.74999999999999</v>
      </c>
      <c r="H136" s="53">
        <f t="shared" si="46"/>
        <v>224.25</v>
      </c>
      <c r="I136" s="63">
        <v>353.16</v>
      </c>
      <c r="J136" s="55">
        <v>0.53</v>
      </c>
      <c r="K136" s="56">
        <f t="shared" si="47"/>
        <v>187.17480000000003</v>
      </c>
      <c r="L136" s="57">
        <f t="shared" si="38"/>
        <v>165.98519999999999</v>
      </c>
      <c r="M136" s="58">
        <f t="shared" si="39"/>
        <v>-35.102406720599191</v>
      </c>
      <c r="N136" s="49">
        <v>355</v>
      </c>
      <c r="O136" s="59">
        <v>0.36</v>
      </c>
      <c r="P136" s="11">
        <f t="shared" si="49"/>
        <v>127.8</v>
      </c>
      <c r="Q136" s="12">
        <f t="shared" si="50"/>
        <v>227.2</v>
      </c>
      <c r="R136" s="60">
        <v>1</v>
      </c>
      <c r="S136" s="61">
        <f t="shared" si="48"/>
        <v>165.98519999999999</v>
      </c>
      <c r="T136" s="62" t="s">
        <v>222</v>
      </c>
      <c r="U136" s="63">
        <f t="shared" si="40"/>
        <v>61.214799999999997</v>
      </c>
      <c r="V136" s="11">
        <f t="shared" si="41"/>
        <v>306.07399999999996</v>
      </c>
      <c r="W136" s="63">
        <f t="shared" si="42"/>
        <v>2.9499999999999886</v>
      </c>
      <c r="X136" s="63">
        <f t="shared" si="43"/>
        <v>14.749999999999943</v>
      </c>
      <c r="Y136" s="49"/>
      <c r="Z136" s="13">
        <f t="shared" si="52"/>
        <v>1136</v>
      </c>
      <c r="AA136" s="13">
        <v>1065</v>
      </c>
      <c r="AB136" s="13">
        <f t="shared" si="44"/>
        <v>829.92599999999993</v>
      </c>
      <c r="AC136" s="14">
        <f t="shared" si="45"/>
        <v>1121.25</v>
      </c>
    </row>
    <row r="137" spans="1:29" ht="15.95" customHeight="1" x14ac:dyDescent="0.25">
      <c r="A137" s="47">
        <v>135</v>
      </c>
      <c r="B137" s="48">
        <v>3206012</v>
      </c>
      <c r="C137" s="10" t="s">
        <v>130</v>
      </c>
      <c r="D137" s="49">
        <v>20</v>
      </c>
      <c r="E137" s="50">
        <v>360</v>
      </c>
      <c r="F137" s="51">
        <v>0.35</v>
      </c>
      <c r="G137" s="52">
        <f t="shared" ref="G137:G148" si="53">E137*F137</f>
        <v>125.99999999999999</v>
      </c>
      <c r="H137" s="53">
        <f t="shared" si="46"/>
        <v>234</v>
      </c>
      <c r="I137" s="63">
        <v>810</v>
      </c>
      <c r="J137" s="55">
        <v>0.53</v>
      </c>
      <c r="K137" s="56">
        <f t="shared" si="47"/>
        <v>429.3</v>
      </c>
      <c r="L137" s="57">
        <f t="shared" si="38"/>
        <v>380.7</v>
      </c>
      <c r="M137" s="58">
        <f t="shared" si="39"/>
        <v>38.534278959810869</v>
      </c>
      <c r="N137" s="49">
        <v>710</v>
      </c>
      <c r="O137" s="59">
        <v>0.36</v>
      </c>
      <c r="P137" s="11">
        <f t="shared" si="49"/>
        <v>255.6</v>
      </c>
      <c r="Q137" s="12">
        <f t="shared" si="50"/>
        <v>454.4</v>
      </c>
      <c r="R137" s="60">
        <v>1</v>
      </c>
      <c r="S137" s="61">
        <f t="shared" si="48"/>
        <v>234</v>
      </c>
      <c r="T137" s="62" t="s">
        <v>229</v>
      </c>
      <c r="U137" s="63">
        <f t="shared" si="40"/>
        <v>73.699999999999989</v>
      </c>
      <c r="V137" s="11">
        <f t="shared" si="41"/>
        <v>1473.9999999999998</v>
      </c>
      <c r="W137" s="63">
        <f t="shared" si="42"/>
        <v>220.39999999999998</v>
      </c>
      <c r="X137" s="63">
        <f t="shared" si="43"/>
        <v>4408</v>
      </c>
      <c r="Y137" s="49"/>
      <c r="Z137" s="13">
        <f t="shared" si="52"/>
        <v>9088</v>
      </c>
      <c r="AA137" s="13">
        <v>8520</v>
      </c>
      <c r="AB137" s="13">
        <f t="shared" si="44"/>
        <v>7614</v>
      </c>
      <c r="AC137" s="14">
        <f t="shared" si="45"/>
        <v>4680</v>
      </c>
    </row>
    <row r="138" spans="1:29" ht="15.95" customHeight="1" x14ac:dyDescent="0.25">
      <c r="A138" s="47">
        <v>136</v>
      </c>
      <c r="B138" s="48">
        <v>1630008</v>
      </c>
      <c r="C138" s="10" t="s">
        <v>131</v>
      </c>
      <c r="D138" s="49">
        <v>10</v>
      </c>
      <c r="E138" s="50">
        <v>485</v>
      </c>
      <c r="F138" s="51">
        <v>0.35</v>
      </c>
      <c r="G138" s="52">
        <f t="shared" si="53"/>
        <v>169.75</v>
      </c>
      <c r="H138" s="53">
        <f t="shared" si="46"/>
        <v>315.25</v>
      </c>
      <c r="I138" s="63">
        <v>556.29999999999995</v>
      </c>
      <c r="J138" s="55">
        <v>0.53</v>
      </c>
      <c r="K138" s="56">
        <f t="shared" si="47"/>
        <v>294.839</v>
      </c>
      <c r="L138" s="57">
        <f t="shared" si="38"/>
        <v>261.46099999999996</v>
      </c>
      <c r="M138" s="58">
        <f t="shared" si="39"/>
        <v>-20.572475436107126</v>
      </c>
      <c r="N138" s="49">
        <v>580</v>
      </c>
      <c r="O138" s="59">
        <v>0.36</v>
      </c>
      <c r="P138" s="11">
        <f t="shared" si="49"/>
        <v>208.79999999999998</v>
      </c>
      <c r="Q138" s="12">
        <f t="shared" si="50"/>
        <v>371.20000000000005</v>
      </c>
      <c r="R138" s="60">
        <v>1</v>
      </c>
      <c r="S138" s="61">
        <f t="shared" si="48"/>
        <v>261.46099999999996</v>
      </c>
      <c r="T138" s="62" t="s">
        <v>222</v>
      </c>
      <c r="U138" s="63">
        <f t="shared" si="40"/>
        <v>109.73900000000009</v>
      </c>
      <c r="V138" s="11">
        <f t="shared" si="41"/>
        <v>1097.3900000000008</v>
      </c>
      <c r="W138" s="63">
        <f t="shared" si="42"/>
        <v>55.950000000000045</v>
      </c>
      <c r="X138" s="63">
        <f t="shared" si="43"/>
        <v>559.50000000000045</v>
      </c>
      <c r="Y138" s="49"/>
      <c r="Z138" s="13">
        <f t="shared" si="52"/>
        <v>3712.0000000000005</v>
      </c>
      <c r="AA138" s="13">
        <v>3480</v>
      </c>
      <c r="AB138" s="13">
        <f t="shared" si="44"/>
        <v>2614.6099999999997</v>
      </c>
      <c r="AC138" s="14">
        <f t="shared" si="45"/>
        <v>3152.5</v>
      </c>
    </row>
    <row r="139" spans="1:29" ht="15.95" customHeight="1" x14ac:dyDescent="0.25">
      <c r="A139" s="47">
        <v>137</v>
      </c>
      <c r="B139" s="48">
        <v>1501021</v>
      </c>
      <c r="C139" s="10" t="s">
        <v>132</v>
      </c>
      <c r="D139" s="49">
        <v>30</v>
      </c>
      <c r="E139" s="50">
        <v>370</v>
      </c>
      <c r="F139" s="51">
        <v>0.35</v>
      </c>
      <c r="G139" s="52">
        <f t="shared" si="53"/>
        <v>129.5</v>
      </c>
      <c r="H139" s="53">
        <f t="shared" si="46"/>
        <v>240.5</v>
      </c>
      <c r="I139" s="63">
        <v>408</v>
      </c>
      <c r="J139" s="55">
        <v>0.53</v>
      </c>
      <c r="K139" s="56">
        <f t="shared" si="47"/>
        <v>216.24</v>
      </c>
      <c r="L139" s="57">
        <f t="shared" si="38"/>
        <v>191.76</v>
      </c>
      <c r="M139" s="58">
        <f t="shared" si="39"/>
        <v>-25.417188151856493</v>
      </c>
      <c r="N139" s="49">
        <v>410</v>
      </c>
      <c r="O139" s="59">
        <v>0.36</v>
      </c>
      <c r="P139" s="11">
        <f t="shared" si="49"/>
        <v>147.6</v>
      </c>
      <c r="Q139" s="12">
        <f t="shared" si="50"/>
        <v>262.39999999999998</v>
      </c>
      <c r="R139" s="60">
        <v>1</v>
      </c>
      <c r="S139" s="61">
        <f t="shared" si="48"/>
        <v>191.76</v>
      </c>
      <c r="T139" s="62" t="s">
        <v>222</v>
      </c>
      <c r="U139" s="63">
        <f t="shared" si="40"/>
        <v>70.639999999999986</v>
      </c>
      <c r="V139" s="11">
        <f t="shared" si="41"/>
        <v>2119.1999999999998</v>
      </c>
      <c r="W139" s="63">
        <f t="shared" si="42"/>
        <v>21.899999999999977</v>
      </c>
      <c r="X139" s="63">
        <f t="shared" si="43"/>
        <v>656.99999999999932</v>
      </c>
      <c r="Y139" s="49"/>
      <c r="Z139" s="13">
        <f t="shared" si="52"/>
        <v>7871.9999999999991</v>
      </c>
      <c r="AA139" s="13">
        <v>7380</v>
      </c>
      <c r="AB139" s="13">
        <f t="shared" si="44"/>
        <v>5752.7999999999993</v>
      </c>
      <c r="AC139" s="14">
        <f t="shared" si="45"/>
        <v>7215</v>
      </c>
    </row>
    <row r="140" spans="1:29" ht="15.95" customHeight="1" x14ac:dyDescent="0.25">
      <c r="A140" s="47">
        <v>138</v>
      </c>
      <c r="B140" s="48">
        <v>1501033</v>
      </c>
      <c r="C140" s="10" t="s">
        <v>133</v>
      </c>
      <c r="D140" s="49">
        <v>2</v>
      </c>
      <c r="E140" s="50">
        <v>5650</v>
      </c>
      <c r="F140" s="51">
        <v>0.35</v>
      </c>
      <c r="G140" s="52">
        <f t="shared" si="53"/>
        <v>1977.4999999999998</v>
      </c>
      <c r="H140" s="53">
        <f t="shared" si="46"/>
        <v>3672.5</v>
      </c>
      <c r="I140" s="63">
        <v>7198.83</v>
      </c>
      <c r="J140" s="55">
        <v>0.53</v>
      </c>
      <c r="K140" s="56">
        <f t="shared" si="47"/>
        <v>3815.3799000000004</v>
      </c>
      <c r="L140" s="57">
        <f t="shared" si="38"/>
        <v>3383.4500999999996</v>
      </c>
      <c r="M140" s="58">
        <f t="shared" si="39"/>
        <v>-8.5430519575270356</v>
      </c>
      <c r="N140" s="49">
        <v>7235</v>
      </c>
      <c r="O140" s="59">
        <v>0.36</v>
      </c>
      <c r="P140" s="11">
        <f t="shared" si="49"/>
        <v>2604.6</v>
      </c>
      <c r="Q140" s="12">
        <f t="shared" si="50"/>
        <v>4630.3999999999996</v>
      </c>
      <c r="R140" s="60">
        <v>1</v>
      </c>
      <c r="S140" s="61">
        <f t="shared" si="48"/>
        <v>3383.4500999999996</v>
      </c>
      <c r="T140" s="62" t="s">
        <v>222</v>
      </c>
      <c r="U140" s="63">
        <f t="shared" si="40"/>
        <v>1246.9499000000001</v>
      </c>
      <c r="V140" s="11">
        <f t="shared" si="41"/>
        <v>2493.8998000000001</v>
      </c>
      <c r="W140" s="63">
        <f t="shared" si="42"/>
        <v>957.89999999999964</v>
      </c>
      <c r="X140" s="63">
        <f t="shared" si="43"/>
        <v>1915.7999999999993</v>
      </c>
      <c r="Y140" s="49"/>
      <c r="Z140" s="13">
        <f t="shared" si="52"/>
        <v>9260.7999999999993</v>
      </c>
      <c r="AA140" s="13">
        <v>8682</v>
      </c>
      <c r="AB140" s="13">
        <f t="shared" si="44"/>
        <v>6766.9001999999991</v>
      </c>
      <c r="AC140" s="14">
        <f t="shared" si="45"/>
        <v>7345</v>
      </c>
    </row>
    <row r="141" spans="1:29" ht="15.95" customHeight="1" x14ac:dyDescent="0.25">
      <c r="A141" s="47">
        <v>139</v>
      </c>
      <c r="B141" s="48">
        <v>1501016</v>
      </c>
      <c r="C141" s="10" t="s">
        <v>134</v>
      </c>
      <c r="D141" s="49">
        <v>50</v>
      </c>
      <c r="E141" s="50">
        <v>345</v>
      </c>
      <c r="F141" s="51">
        <v>0.35</v>
      </c>
      <c r="G141" s="52">
        <f t="shared" si="53"/>
        <v>120.74999999999999</v>
      </c>
      <c r="H141" s="53">
        <f t="shared" si="46"/>
        <v>224.25</v>
      </c>
      <c r="I141" s="63">
        <v>403</v>
      </c>
      <c r="J141" s="55">
        <v>0.53</v>
      </c>
      <c r="K141" s="56">
        <f t="shared" si="47"/>
        <v>213.59</v>
      </c>
      <c r="L141" s="57">
        <f t="shared" si="38"/>
        <v>189.41</v>
      </c>
      <c r="M141" s="58">
        <f t="shared" si="39"/>
        <v>-18.393960192175705</v>
      </c>
      <c r="N141" s="49">
        <v>405</v>
      </c>
      <c r="O141" s="59">
        <v>0.36</v>
      </c>
      <c r="P141" s="11">
        <f t="shared" si="49"/>
        <v>145.79999999999998</v>
      </c>
      <c r="Q141" s="12">
        <f t="shared" si="50"/>
        <v>259.20000000000005</v>
      </c>
      <c r="R141" s="60">
        <v>1</v>
      </c>
      <c r="S141" s="61">
        <f t="shared" si="48"/>
        <v>189.41</v>
      </c>
      <c r="T141" s="62" t="s">
        <v>222</v>
      </c>
      <c r="U141" s="63">
        <f t="shared" si="40"/>
        <v>69.790000000000049</v>
      </c>
      <c r="V141" s="11">
        <f t="shared" si="41"/>
        <v>3489.5000000000023</v>
      </c>
      <c r="W141" s="63">
        <f t="shared" si="42"/>
        <v>34.950000000000045</v>
      </c>
      <c r="X141" s="63">
        <f t="shared" si="43"/>
        <v>1747.5000000000023</v>
      </c>
      <c r="Y141" s="49"/>
      <c r="Z141" s="13">
        <f t="shared" si="52"/>
        <v>12960.000000000002</v>
      </c>
      <c r="AA141" s="13">
        <v>12150</v>
      </c>
      <c r="AB141" s="13">
        <f t="shared" si="44"/>
        <v>9470.5</v>
      </c>
      <c r="AC141" s="14">
        <f t="shared" si="45"/>
        <v>11212.5</v>
      </c>
    </row>
    <row r="142" spans="1:29" ht="15.95" customHeight="1" x14ac:dyDescent="0.25">
      <c r="A142" s="47">
        <v>140</v>
      </c>
      <c r="B142" s="48" t="s">
        <v>199</v>
      </c>
      <c r="C142" s="10" t="s">
        <v>135</v>
      </c>
      <c r="D142" s="49">
        <v>40</v>
      </c>
      <c r="E142" s="50">
        <v>55</v>
      </c>
      <c r="F142" s="51">
        <v>0.35</v>
      </c>
      <c r="G142" s="52">
        <f t="shared" si="53"/>
        <v>19.25</v>
      </c>
      <c r="H142" s="53">
        <f t="shared" si="46"/>
        <v>35.75</v>
      </c>
      <c r="I142" s="63">
        <v>937.5</v>
      </c>
      <c r="J142" s="55">
        <v>0.53</v>
      </c>
      <c r="K142" s="56">
        <f t="shared" si="47"/>
        <v>496.875</v>
      </c>
      <c r="L142" s="57">
        <f t="shared" si="38"/>
        <v>440.625</v>
      </c>
      <c r="M142" s="58">
        <f t="shared" si="39"/>
        <v>91.886524822695037</v>
      </c>
      <c r="N142" s="49">
        <v>110</v>
      </c>
      <c r="O142" s="59">
        <v>0.36</v>
      </c>
      <c r="P142" s="11">
        <f t="shared" si="49"/>
        <v>39.6</v>
      </c>
      <c r="Q142" s="12">
        <f t="shared" si="50"/>
        <v>70.400000000000006</v>
      </c>
      <c r="R142" s="60">
        <v>1</v>
      </c>
      <c r="S142" s="61">
        <f t="shared" si="48"/>
        <v>35.75</v>
      </c>
      <c r="T142" s="62" t="s">
        <v>229</v>
      </c>
      <c r="U142" s="63">
        <f t="shared" si="40"/>
        <v>-370.22500000000002</v>
      </c>
      <c r="V142" s="11">
        <f t="shared" si="41"/>
        <v>-14809</v>
      </c>
      <c r="W142" s="63">
        <f t="shared" si="42"/>
        <v>34.650000000000006</v>
      </c>
      <c r="X142" s="63">
        <f t="shared" si="43"/>
        <v>1386.0000000000002</v>
      </c>
      <c r="Y142" s="49"/>
      <c r="Z142" s="13">
        <f t="shared" si="52"/>
        <v>2816</v>
      </c>
      <c r="AA142" s="13">
        <v>2640</v>
      </c>
      <c r="AB142" s="13">
        <f t="shared" si="44"/>
        <v>17625</v>
      </c>
      <c r="AC142" s="14">
        <f t="shared" si="45"/>
        <v>1430</v>
      </c>
    </row>
    <row r="143" spans="1:29" ht="15.95" customHeight="1" x14ac:dyDescent="0.25">
      <c r="A143" s="47">
        <v>141</v>
      </c>
      <c r="B143" s="48">
        <v>8110013</v>
      </c>
      <c r="C143" s="10" t="s">
        <v>136</v>
      </c>
      <c r="D143" s="49">
        <v>90</v>
      </c>
      <c r="E143" s="50">
        <v>65</v>
      </c>
      <c r="F143" s="51">
        <v>0.35</v>
      </c>
      <c r="G143" s="52">
        <f t="shared" si="53"/>
        <v>22.75</v>
      </c>
      <c r="H143" s="53">
        <f t="shared" si="46"/>
        <v>42.25</v>
      </c>
      <c r="I143" s="49"/>
      <c r="J143" s="55"/>
      <c r="K143" s="56">
        <f t="shared" si="47"/>
        <v>0</v>
      </c>
      <c r="L143" s="57">
        <f t="shared" si="38"/>
        <v>0</v>
      </c>
      <c r="M143" s="64"/>
      <c r="N143" s="49">
        <v>135</v>
      </c>
      <c r="O143" s="59">
        <v>0.36</v>
      </c>
      <c r="P143" s="11">
        <f t="shared" si="49"/>
        <v>48.6</v>
      </c>
      <c r="Q143" s="12">
        <f t="shared" si="50"/>
        <v>86.4</v>
      </c>
      <c r="R143" s="60">
        <v>1</v>
      </c>
      <c r="S143" s="61">
        <v>42.25</v>
      </c>
      <c r="T143" s="62" t="s">
        <v>229</v>
      </c>
      <c r="U143" s="63">
        <f t="shared" si="40"/>
        <v>86.4</v>
      </c>
      <c r="V143" s="11">
        <f t="shared" si="41"/>
        <v>7776.0000000000009</v>
      </c>
      <c r="W143" s="63">
        <f t="shared" si="42"/>
        <v>44.150000000000006</v>
      </c>
      <c r="X143" s="63">
        <f t="shared" si="43"/>
        <v>3973.5000000000005</v>
      </c>
      <c r="Y143" s="49"/>
      <c r="Z143" s="13">
        <f t="shared" si="52"/>
        <v>7776.0000000000009</v>
      </c>
      <c r="AA143" s="13">
        <v>7290</v>
      </c>
      <c r="AB143" s="13">
        <f t="shared" si="44"/>
        <v>0</v>
      </c>
      <c r="AC143" s="14">
        <f t="shared" si="45"/>
        <v>3802.5</v>
      </c>
    </row>
    <row r="144" spans="1:29" ht="15.95" customHeight="1" x14ac:dyDescent="0.25">
      <c r="A144" s="47">
        <v>142</v>
      </c>
      <c r="B144" s="48">
        <v>8110013</v>
      </c>
      <c r="C144" s="10" t="s">
        <v>137</v>
      </c>
      <c r="D144" s="49">
        <v>100</v>
      </c>
      <c r="E144" s="50">
        <v>65</v>
      </c>
      <c r="F144" s="51">
        <v>0.35</v>
      </c>
      <c r="G144" s="52">
        <f t="shared" si="53"/>
        <v>22.75</v>
      </c>
      <c r="H144" s="53">
        <f t="shared" si="46"/>
        <v>42.25</v>
      </c>
      <c r="I144" s="63">
        <v>826</v>
      </c>
      <c r="J144" s="55">
        <v>0.53</v>
      </c>
      <c r="K144" s="56">
        <f t="shared" si="47"/>
        <v>437.78000000000003</v>
      </c>
      <c r="L144" s="57">
        <f t="shared" si="38"/>
        <v>388.21999999999997</v>
      </c>
      <c r="M144" s="58">
        <f t="shared" si="39"/>
        <v>89.116995518005268</v>
      </c>
      <c r="N144" s="49">
        <v>135</v>
      </c>
      <c r="O144" s="59">
        <v>0.36</v>
      </c>
      <c r="P144" s="11">
        <f t="shared" si="49"/>
        <v>48.6</v>
      </c>
      <c r="Q144" s="12">
        <f t="shared" si="50"/>
        <v>86.4</v>
      </c>
      <c r="R144" s="60">
        <v>1</v>
      </c>
      <c r="S144" s="61">
        <f t="shared" si="48"/>
        <v>42.25</v>
      </c>
      <c r="T144" s="62" t="s">
        <v>229</v>
      </c>
      <c r="U144" s="63">
        <f t="shared" si="40"/>
        <v>-301.81999999999994</v>
      </c>
      <c r="V144" s="11">
        <f t="shared" si="41"/>
        <v>-30181.999999999993</v>
      </c>
      <c r="W144" s="63">
        <f t="shared" si="42"/>
        <v>44.150000000000006</v>
      </c>
      <c r="X144" s="63">
        <f t="shared" si="43"/>
        <v>4415.0000000000009</v>
      </c>
      <c r="Y144" s="49"/>
      <c r="Z144" s="13">
        <f t="shared" si="52"/>
        <v>8640</v>
      </c>
      <c r="AA144" s="13">
        <v>8100</v>
      </c>
      <c r="AB144" s="13">
        <f t="shared" si="44"/>
        <v>38822</v>
      </c>
      <c r="AC144" s="14">
        <f t="shared" si="45"/>
        <v>4225</v>
      </c>
    </row>
    <row r="145" spans="1:29" ht="15.95" customHeight="1" x14ac:dyDescent="0.25">
      <c r="A145" s="47">
        <v>143</v>
      </c>
      <c r="B145" s="48" t="s">
        <v>207</v>
      </c>
      <c r="C145" s="10" t="s">
        <v>138</v>
      </c>
      <c r="D145" s="49">
        <v>25</v>
      </c>
      <c r="E145" s="50">
        <v>50</v>
      </c>
      <c r="F145" s="51">
        <v>0.35</v>
      </c>
      <c r="G145" s="52">
        <f t="shared" si="53"/>
        <v>17.5</v>
      </c>
      <c r="H145" s="53">
        <f t="shared" si="46"/>
        <v>32.5</v>
      </c>
      <c r="I145" s="63">
        <v>691.5</v>
      </c>
      <c r="J145" s="55">
        <v>0.53</v>
      </c>
      <c r="K145" s="56">
        <f t="shared" si="47"/>
        <v>366.495</v>
      </c>
      <c r="L145" s="57">
        <f t="shared" si="38"/>
        <v>325.005</v>
      </c>
      <c r="M145" s="58">
        <f t="shared" si="39"/>
        <v>90.000153843787018</v>
      </c>
      <c r="N145" s="49">
        <v>255</v>
      </c>
      <c r="O145" s="59">
        <v>0.36</v>
      </c>
      <c r="P145" s="11">
        <f t="shared" si="49"/>
        <v>91.8</v>
      </c>
      <c r="Q145" s="12">
        <f t="shared" si="50"/>
        <v>163.19999999999999</v>
      </c>
      <c r="R145" s="60">
        <v>1</v>
      </c>
      <c r="S145" s="61">
        <f t="shared" si="48"/>
        <v>32.5</v>
      </c>
      <c r="T145" s="62" t="s">
        <v>229</v>
      </c>
      <c r="U145" s="63">
        <f t="shared" si="40"/>
        <v>-161.80500000000001</v>
      </c>
      <c r="V145" s="11">
        <f t="shared" si="41"/>
        <v>-4045.125</v>
      </c>
      <c r="W145" s="63">
        <f t="shared" si="42"/>
        <v>130.69999999999999</v>
      </c>
      <c r="X145" s="63">
        <f t="shared" si="43"/>
        <v>3267.4999999999995</v>
      </c>
      <c r="Y145" s="49"/>
      <c r="Z145" s="13">
        <f t="shared" si="52"/>
        <v>4079.9999999999995</v>
      </c>
      <c r="AA145" s="13">
        <v>3825</v>
      </c>
      <c r="AB145" s="13">
        <f t="shared" si="44"/>
        <v>8125.125</v>
      </c>
      <c r="AC145" s="14">
        <f t="shared" si="45"/>
        <v>812.5</v>
      </c>
    </row>
    <row r="146" spans="1:29" ht="15.95" customHeight="1" x14ac:dyDescent="0.25">
      <c r="A146" s="47">
        <v>144</v>
      </c>
      <c r="B146" s="48" t="s">
        <v>208</v>
      </c>
      <c r="C146" s="10" t="s">
        <v>139</v>
      </c>
      <c r="D146" s="49">
        <v>25</v>
      </c>
      <c r="E146" s="50">
        <v>27</v>
      </c>
      <c r="F146" s="51">
        <v>0.35</v>
      </c>
      <c r="G146" s="52">
        <f t="shared" si="53"/>
        <v>9.4499999999999993</v>
      </c>
      <c r="H146" s="53">
        <f t="shared" si="46"/>
        <v>17.55</v>
      </c>
      <c r="I146" s="49"/>
      <c r="J146" s="55"/>
      <c r="K146" s="56">
        <f t="shared" si="47"/>
        <v>0</v>
      </c>
      <c r="L146" s="57">
        <f t="shared" si="38"/>
        <v>0</v>
      </c>
      <c r="M146" s="64"/>
      <c r="N146" s="49">
        <v>315</v>
      </c>
      <c r="O146" s="59">
        <v>0.36</v>
      </c>
      <c r="P146" s="11">
        <f t="shared" si="49"/>
        <v>113.39999999999999</v>
      </c>
      <c r="Q146" s="12">
        <f t="shared" si="50"/>
        <v>201.60000000000002</v>
      </c>
      <c r="R146" s="60">
        <v>1</v>
      </c>
      <c r="S146" s="61">
        <v>17.55</v>
      </c>
      <c r="T146" s="62" t="s">
        <v>229</v>
      </c>
      <c r="U146" s="63">
        <f t="shared" si="40"/>
        <v>201.60000000000002</v>
      </c>
      <c r="V146" s="11">
        <f t="shared" si="41"/>
        <v>5040.0000000000009</v>
      </c>
      <c r="W146" s="63">
        <f t="shared" si="42"/>
        <v>184.05</v>
      </c>
      <c r="X146" s="63">
        <f t="shared" si="43"/>
        <v>4601.25</v>
      </c>
      <c r="Y146" s="49"/>
      <c r="Z146" s="13">
        <f t="shared" si="52"/>
        <v>5040.0000000000009</v>
      </c>
      <c r="AA146" s="13">
        <v>4725</v>
      </c>
      <c r="AB146" s="13">
        <f t="shared" si="44"/>
        <v>0</v>
      </c>
      <c r="AC146" s="14">
        <f t="shared" si="45"/>
        <v>438.75</v>
      </c>
    </row>
    <row r="147" spans="1:29" ht="15.95" customHeight="1" x14ac:dyDescent="0.25">
      <c r="A147" s="47">
        <v>145</v>
      </c>
      <c r="B147" s="48">
        <v>1501031</v>
      </c>
      <c r="C147" s="10" t="s">
        <v>140</v>
      </c>
      <c r="D147" s="49">
        <v>6</v>
      </c>
      <c r="E147" s="50">
        <v>4700</v>
      </c>
      <c r="F147" s="51">
        <v>0.35</v>
      </c>
      <c r="G147" s="52">
        <f t="shared" si="53"/>
        <v>1645</v>
      </c>
      <c r="H147" s="53">
        <f t="shared" si="46"/>
        <v>3055</v>
      </c>
      <c r="I147" s="63">
        <v>6378</v>
      </c>
      <c r="J147" s="55">
        <v>0.53</v>
      </c>
      <c r="K147" s="56">
        <f t="shared" si="47"/>
        <v>3380.34</v>
      </c>
      <c r="L147" s="57">
        <f t="shared" si="38"/>
        <v>2997.66</v>
      </c>
      <c r="M147" s="58">
        <f t="shared" si="39"/>
        <v>-1.9128253370962733</v>
      </c>
      <c r="N147" s="49">
        <v>6410</v>
      </c>
      <c r="O147" s="59">
        <v>0.36</v>
      </c>
      <c r="P147" s="11">
        <f t="shared" si="49"/>
        <v>2307.6</v>
      </c>
      <c r="Q147" s="12">
        <f t="shared" si="50"/>
        <v>4102.3999999999996</v>
      </c>
      <c r="R147" s="60">
        <v>1</v>
      </c>
      <c r="S147" s="61">
        <f t="shared" si="48"/>
        <v>2997.66</v>
      </c>
      <c r="T147" s="62" t="s">
        <v>222</v>
      </c>
      <c r="U147" s="63">
        <f t="shared" si="40"/>
        <v>1104.7399999999998</v>
      </c>
      <c r="V147" s="11">
        <f t="shared" si="41"/>
        <v>6628.4399999999987</v>
      </c>
      <c r="W147" s="63">
        <f t="shared" si="42"/>
        <v>1047.3999999999996</v>
      </c>
      <c r="X147" s="63">
        <f t="shared" si="43"/>
        <v>6284.3999999999978</v>
      </c>
      <c r="Y147" s="49"/>
      <c r="Z147" s="13">
        <f t="shared" si="52"/>
        <v>24614.399999999998</v>
      </c>
      <c r="AA147" s="13">
        <v>23076</v>
      </c>
      <c r="AB147" s="13">
        <f t="shared" si="44"/>
        <v>17985.96</v>
      </c>
      <c r="AC147" s="14">
        <f t="shared" si="45"/>
        <v>18330</v>
      </c>
    </row>
    <row r="148" spans="1:29" ht="15.95" customHeight="1" x14ac:dyDescent="0.25">
      <c r="A148" s="47">
        <v>146</v>
      </c>
      <c r="B148" s="48">
        <v>3021018</v>
      </c>
      <c r="C148" s="10" t="s">
        <v>141</v>
      </c>
      <c r="D148" s="49">
        <v>5</v>
      </c>
      <c r="E148" s="50">
        <v>1000</v>
      </c>
      <c r="F148" s="51">
        <v>0.35</v>
      </c>
      <c r="G148" s="52">
        <f t="shared" si="53"/>
        <v>350</v>
      </c>
      <c r="H148" s="53">
        <f t="shared" si="46"/>
        <v>650</v>
      </c>
      <c r="I148" s="49"/>
      <c r="J148" s="55"/>
      <c r="K148" s="56">
        <f t="shared" si="47"/>
        <v>0</v>
      </c>
      <c r="L148" s="57">
        <f t="shared" si="38"/>
        <v>0</v>
      </c>
      <c r="M148" s="64"/>
      <c r="N148" s="49">
        <v>1335</v>
      </c>
      <c r="O148" s="59">
        <v>0.36</v>
      </c>
      <c r="P148" s="11">
        <f t="shared" si="49"/>
        <v>480.59999999999997</v>
      </c>
      <c r="Q148" s="12">
        <f t="shared" si="50"/>
        <v>854.40000000000009</v>
      </c>
      <c r="R148" s="60">
        <v>1</v>
      </c>
      <c r="S148" s="61">
        <v>650</v>
      </c>
      <c r="T148" s="62" t="s">
        <v>229</v>
      </c>
      <c r="U148" s="63">
        <f t="shared" si="40"/>
        <v>854.40000000000009</v>
      </c>
      <c r="V148" s="11">
        <f t="shared" si="41"/>
        <v>4272</v>
      </c>
      <c r="W148" s="63">
        <f t="shared" si="42"/>
        <v>204.40000000000009</v>
      </c>
      <c r="X148" s="63">
        <f t="shared" si="43"/>
        <v>1022.0000000000005</v>
      </c>
      <c r="Y148" s="49"/>
      <c r="Z148" s="13">
        <f t="shared" si="52"/>
        <v>4272</v>
      </c>
      <c r="AA148" s="13">
        <v>4005</v>
      </c>
      <c r="AB148" s="13">
        <f t="shared" ref="AB148:AB170" si="54">L148*D148</f>
        <v>0</v>
      </c>
      <c r="AC148" s="14">
        <f t="shared" ref="AC148:AC170" si="55">H148*D148</f>
        <v>3250</v>
      </c>
    </row>
    <row r="149" spans="1:29" ht="15.95" customHeight="1" x14ac:dyDescent="0.25">
      <c r="A149" s="47">
        <v>147</v>
      </c>
      <c r="B149" s="48">
        <v>1501029</v>
      </c>
      <c r="C149" s="10" t="s">
        <v>142</v>
      </c>
      <c r="D149" s="49">
        <v>10</v>
      </c>
      <c r="E149" s="50">
        <v>660</v>
      </c>
      <c r="F149" s="51">
        <v>0.35</v>
      </c>
      <c r="G149" s="52">
        <f t="shared" ref="G149:G153" si="56">E149*F149</f>
        <v>230.99999999999997</v>
      </c>
      <c r="H149" s="53">
        <f t="shared" si="46"/>
        <v>429</v>
      </c>
      <c r="I149" s="63">
        <v>691.5</v>
      </c>
      <c r="J149" s="55">
        <v>0.53</v>
      </c>
      <c r="K149" s="56">
        <f t="shared" si="47"/>
        <v>366.495</v>
      </c>
      <c r="L149" s="57">
        <f t="shared" si="38"/>
        <v>325.005</v>
      </c>
      <c r="M149" s="58">
        <f t="shared" si="39"/>
        <v>-31.997969262011352</v>
      </c>
      <c r="N149" s="49">
        <v>695</v>
      </c>
      <c r="O149" s="59">
        <v>0.36</v>
      </c>
      <c r="P149" s="11">
        <f t="shared" si="49"/>
        <v>250.2</v>
      </c>
      <c r="Q149" s="12">
        <f t="shared" si="50"/>
        <v>444.8</v>
      </c>
      <c r="R149" s="60">
        <v>1</v>
      </c>
      <c r="S149" s="61">
        <f t="shared" si="48"/>
        <v>325.005</v>
      </c>
      <c r="T149" s="62" t="s">
        <v>222</v>
      </c>
      <c r="U149" s="63">
        <f t="shared" si="40"/>
        <v>119.79500000000002</v>
      </c>
      <c r="V149" s="11">
        <f t="shared" si="41"/>
        <v>1197.9500000000003</v>
      </c>
      <c r="W149" s="63">
        <f t="shared" si="42"/>
        <v>15.800000000000011</v>
      </c>
      <c r="X149" s="63">
        <f t="shared" si="43"/>
        <v>158.00000000000011</v>
      </c>
      <c r="Y149" s="49"/>
      <c r="Z149" s="13">
        <f t="shared" si="52"/>
        <v>4448</v>
      </c>
      <c r="AA149" s="13">
        <v>4170</v>
      </c>
      <c r="AB149" s="13">
        <f t="shared" si="54"/>
        <v>3250.05</v>
      </c>
      <c r="AC149" s="14">
        <f t="shared" si="55"/>
        <v>4290</v>
      </c>
    </row>
    <row r="150" spans="1:29" ht="15.95" customHeight="1" x14ac:dyDescent="0.25">
      <c r="A150" s="47">
        <v>148</v>
      </c>
      <c r="B150" s="48">
        <v>5400024</v>
      </c>
      <c r="C150" s="10" t="s">
        <v>143</v>
      </c>
      <c r="D150" s="49">
        <v>2</v>
      </c>
      <c r="E150" s="50">
        <v>375</v>
      </c>
      <c r="F150" s="51">
        <v>0.35</v>
      </c>
      <c r="G150" s="52">
        <f t="shared" si="56"/>
        <v>131.25</v>
      </c>
      <c r="H150" s="53">
        <f t="shared" si="46"/>
        <v>243.75</v>
      </c>
      <c r="I150" s="49"/>
      <c r="J150" s="55"/>
      <c r="K150" s="56">
        <f t="shared" si="47"/>
        <v>0</v>
      </c>
      <c r="L150" s="57">
        <f t="shared" si="38"/>
        <v>0</v>
      </c>
      <c r="M150" s="64"/>
      <c r="N150" s="49">
        <v>490</v>
      </c>
      <c r="O150" s="59">
        <v>0.36</v>
      </c>
      <c r="P150" s="11">
        <f t="shared" si="49"/>
        <v>176.4</v>
      </c>
      <c r="Q150" s="12">
        <f t="shared" si="50"/>
        <v>313.60000000000002</v>
      </c>
      <c r="R150" s="60">
        <v>1</v>
      </c>
      <c r="S150" s="61">
        <v>243.75</v>
      </c>
      <c r="T150" s="62" t="s">
        <v>229</v>
      </c>
      <c r="U150" s="63">
        <f t="shared" si="40"/>
        <v>313.60000000000002</v>
      </c>
      <c r="V150" s="11">
        <f t="shared" si="41"/>
        <v>627.20000000000005</v>
      </c>
      <c r="W150" s="63">
        <f t="shared" si="42"/>
        <v>69.850000000000023</v>
      </c>
      <c r="X150" s="63">
        <f t="shared" si="43"/>
        <v>139.70000000000005</v>
      </c>
      <c r="Y150" s="49"/>
      <c r="Z150" s="13">
        <f t="shared" si="52"/>
        <v>627.20000000000005</v>
      </c>
      <c r="AA150" s="13">
        <v>588</v>
      </c>
      <c r="AB150" s="13">
        <f t="shared" si="54"/>
        <v>0</v>
      </c>
      <c r="AC150" s="14">
        <f t="shared" si="55"/>
        <v>487.5</v>
      </c>
    </row>
    <row r="151" spans="1:29" ht="15.95" customHeight="1" x14ac:dyDescent="0.25">
      <c r="A151" s="47">
        <v>149</v>
      </c>
      <c r="B151" s="48">
        <v>3021029</v>
      </c>
      <c r="C151" s="10" t="s">
        <v>144</v>
      </c>
      <c r="D151" s="49">
        <v>1</v>
      </c>
      <c r="E151" s="50">
        <v>1800</v>
      </c>
      <c r="F151" s="51">
        <v>0.35</v>
      </c>
      <c r="G151" s="52">
        <f t="shared" si="56"/>
        <v>630</v>
      </c>
      <c r="H151" s="53">
        <f t="shared" si="46"/>
        <v>1170</v>
      </c>
      <c r="I151" s="63">
        <v>2617</v>
      </c>
      <c r="J151" s="55">
        <v>0.53</v>
      </c>
      <c r="K151" s="56">
        <f t="shared" si="47"/>
        <v>1387.01</v>
      </c>
      <c r="L151" s="57">
        <f t="shared" si="38"/>
        <v>1229.99</v>
      </c>
      <c r="M151" s="58">
        <f t="shared" si="39"/>
        <v>4.8772754250034565</v>
      </c>
      <c r="N151" s="49">
        <v>2520</v>
      </c>
      <c r="O151" s="59">
        <v>0.36</v>
      </c>
      <c r="P151" s="11">
        <f t="shared" si="49"/>
        <v>907.19999999999993</v>
      </c>
      <c r="Q151" s="12">
        <f t="shared" si="50"/>
        <v>1612.8000000000002</v>
      </c>
      <c r="R151" s="60">
        <v>1</v>
      </c>
      <c r="S151" s="61">
        <f t="shared" si="48"/>
        <v>1170</v>
      </c>
      <c r="T151" s="62" t="s">
        <v>222</v>
      </c>
      <c r="U151" s="63">
        <f t="shared" si="40"/>
        <v>382.81000000000017</v>
      </c>
      <c r="V151" s="11">
        <f t="shared" si="41"/>
        <v>382.81000000000017</v>
      </c>
      <c r="W151" s="63">
        <f t="shared" si="42"/>
        <v>442.80000000000018</v>
      </c>
      <c r="X151" s="63">
        <f t="shared" si="43"/>
        <v>442.80000000000018</v>
      </c>
      <c r="Y151" s="49"/>
      <c r="Z151" s="13">
        <f t="shared" si="52"/>
        <v>1612.8000000000002</v>
      </c>
      <c r="AA151" s="13">
        <v>1512</v>
      </c>
      <c r="AB151" s="13">
        <f t="shared" si="54"/>
        <v>1229.99</v>
      </c>
      <c r="AC151" s="14">
        <f t="shared" si="55"/>
        <v>1170</v>
      </c>
    </row>
    <row r="152" spans="1:29" ht="15.95" customHeight="1" x14ac:dyDescent="0.25">
      <c r="A152" s="47">
        <v>150</v>
      </c>
      <c r="B152" s="48">
        <v>3021024</v>
      </c>
      <c r="C152" s="10" t="s">
        <v>145</v>
      </c>
      <c r="D152" s="49">
        <v>1</v>
      </c>
      <c r="E152" s="50">
        <v>1400</v>
      </c>
      <c r="F152" s="51">
        <v>0.35</v>
      </c>
      <c r="G152" s="52">
        <f t="shared" si="56"/>
        <v>489.99999999999994</v>
      </c>
      <c r="H152" s="53">
        <f t="shared" si="46"/>
        <v>910</v>
      </c>
      <c r="I152" s="63">
        <v>2088.5</v>
      </c>
      <c r="J152" s="55">
        <v>0.53</v>
      </c>
      <c r="K152" s="56">
        <f t="shared" si="47"/>
        <v>1106.905</v>
      </c>
      <c r="L152" s="57">
        <f t="shared" si="38"/>
        <v>981.59500000000003</v>
      </c>
      <c r="M152" s="58">
        <f t="shared" si="39"/>
        <v>7.2937413087882499</v>
      </c>
      <c r="N152" s="49">
        <v>2065</v>
      </c>
      <c r="O152" s="59">
        <v>0.36</v>
      </c>
      <c r="P152" s="11">
        <f t="shared" si="49"/>
        <v>743.4</v>
      </c>
      <c r="Q152" s="12">
        <f t="shared" si="50"/>
        <v>1321.6</v>
      </c>
      <c r="R152" s="60">
        <v>1</v>
      </c>
      <c r="S152" s="61">
        <f t="shared" si="48"/>
        <v>910</v>
      </c>
      <c r="T152" s="62" t="s">
        <v>229</v>
      </c>
      <c r="U152" s="63">
        <f t="shared" si="40"/>
        <v>340.00499999999988</v>
      </c>
      <c r="V152" s="11">
        <f t="shared" si="41"/>
        <v>340.00499999999988</v>
      </c>
      <c r="W152" s="63">
        <f t="shared" si="42"/>
        <v>411.59999999999991</v>
      </c>
      <c r="X152" s="63">
        <f t="shared" si="43"/>
        <v>411.59999999999991</v>
      </c>
      <c r="Y152" s="49"/>
      <c r="Z152" s="13">
        <f t="shared" si="52"/>
        <v>1321.6</v>
      </c>
      <c r="AA152" s="13">
        <v>1239</v>
      </c>
      <c r="AB152" s="13">
        <f t="shared" si="54"/>
        <v>981.59500000000003</v>
      </c>
      <c r="AC152" s="14">
        <f t="shared" si="55"/>
        <v>910</v>
      </c>
    </row>
    <row r="153" spans="1:29" ht="15.95" customHeight="1" x14ac:dyDescent="0.25">
      <c r="A153" s="47">
        <v>151</v>
      </c>
      <c r="B153" s="48">
        <v>4980024</v>
      </c>
      <c r="C153" s="10" t="s">
        <v>146</v>
      </c>
      <c r="D153" s="49">
        <v>5</v>
      </c>
      <c r="E153" s="50">
        <v>230</v>
      </c>
      <c r="F153" s="51">
        <v>0.35</v>
      </c>
      <c r="G153" s="52">
        <f t="shared" si="56"/>
        <v>80.5</v>
      </c>
      <c r="H153" s="53">
        <f t="shared" si="46"/>
        <v>149.5</v>
      </c>
      <c r="I153" s="63">
        <v>243.8</v>
      </c>
      <c r="J153" s="55">
        <v>0.53</v>
      </c>
      <c r="K153" s="56">
        <f t="shared" si="47"/>
        <v>129.214</v>
      </c>
      <c r="L153" s="57">
        <f t="shared" si="38"/>
        <v>114.58600000000001</v>
      </c>
      <c r="M153" s="58">
        <f t="shared" si="39"/>
        <v>-30.469690887193885</v>
      </c>
      <c r="N153" s="49">
        <v>245</v>
      </c>
      <c r="O153" s="59">
        <v>0.36</v>
      </c>
      <c r="P153" s="11">
        <f t="shared" si="49"/>
        <v>88.2</v>
      </c>
      <c r="Q153" s="12">
        <f t="shared" si="50"/>
        <v>156.80000000000001</v>
      </c>
      <c r="R153" s="60">
        <v>1</v>
      </c>
      <c r="S153" s="61">
        <f t="shared" si="48"/>
        <v>114.58600000000001</v>
      </c>
      <c r="T153" s="62" t="s">
        <v>222</v>
      </c>
      <c r="U153" s="63">
        <f t="shared" si="40"/>
        <v>42.213999999999999</v>
      </c>
      <c r="V153" s="11">
        <f t="shared" si="41"/>
        <v>211.07</v>
      </c>
      <c r="W153" s="63">
        <f t="shared" si="42"/>
        <v>7.3000000000000114</v>
      </c>
      <c r="X153" s="63">
        <f t="shared" si="43"/>
        <v>36.500000000000057</v>
      </c>
      <c r="Y153" s="49"/>
      <c r="Z153" s="13">
        <f t="shared" si="52"/>
        <v>784</v>
      </c>
      <c r="AA153" s="13">
        <v>735</v>
      </c>
      <c r="AB153" s="13">
        <f t="shared" si="54"/>
        <v>572.93000000000006</v>
      </c>
      <c r="AC153" s="14">
        <f t="shared" si="55"/>
        <v>747.5</v>
      </c>
    </row>
    <row r="154" spans="1:29" ht="15.95" customHeight="1" x14ac:dyDescent="0.25">
      <c r="A154" s="47">
        <v>152</v>
      </c>
      <c r="B154" s="48">
        <v>1501033</v>
      </c>
      <c r="C154" s="10" t="s">
        <v>147</v>
      </c>
      <c r="D154" s="49">
        <v>8</v>
      </c>
      <c r="E154" s="50">
        <v>5650</v>
      </c>
      <c r="F154" s="51">
        <v>0.35</v>
      </c>
      <c r="G154" s="52">
        <f t="shared" ref="G154:G155" si="57">E154*F154</f>
        <v>1977.4999999999998</v>
      </c>
      <c r="H154" s="53">
        <f t="shared" si="46"/>
        <v>3672.5</v>
      </c>
      <c r="I154" s="63">
        <v>7198.53</v>
      </c>
      <c r="J154" s="55">
        <v>0.53</v>
      </c>
      <c r="K154" s="56">
        <f t="shared" si="47"/>
        <v>3815.2209000000003</v>
      </c>
      <c r="L154" s="57">
        <f t="shared" si="38"/>
        <v>3383.3090999999995</v>
      </c>
      <c r="M154" s="58">
        <f t="shared" si="39"/>
        <v>-8.5475755082502083</v>
      </c>
      <c r="N154" s="49">
        <v>7235</v>
      </c>
      <c r="O154" s="59">
        <v>0.36</v>
      </c>
      <c r="P154" s="11">
        <f t="shared" si="49"/>
        <v>2604.6</v>
      </c>
      <c r="Q154" s="12">
        <f t="shared" si="50"/>
        <v>4630.3999999999996</v>
      </c>
      <c r="R154" s="60">
        <v>1</v>
      </c>
      <c r="S154" s="61">
        <f t="shared" si="48"/>
        <v>3383.3090999999995</v>
      </c>
      <c r="T154" s="62" t="s">
        <v>222</v>
      </c>
      <c r="U154" s="63">
        <f t="shared" si="40"/>
        <v>1247.0909000000001</v>
      </c>
      <c r="V154" s="11">
        <f t="shared" si="41"/>
        <v>9976.7272000000012</v>
      </c>
      <c r="W154" s="63">
        <f t="shared" si="42"/>
        <v>957.89999999999964</v>
      </c>
      <c r="X154" s="63">
        <f t="shared" si="43"/>
        <v>7663.1999999999971</v>
      </c>
      <c r="Y154" s="49"/>
      <c r="Z154" s="13">
        <f t="shared" si="52"/>
        <v>37043.199999999997</v>
      </c>
      <c r="AA154" s="13">
        <v>34728</v>
      </c>
      <c r="AB154" s="13">
        <f t="shared" si="54"/>
        <v>27066.472799999996</v>
      </c>
      <c r="AC154" s="14">
        <f t="shared" si="55"/>
        <v>29380</v>
      </c>
    </row>
    <row r="155" spans="1:29" ht="15.95" customHeight="1" x14ac:dyDescent="0.25">
      <c r="A155" s="47">
        <v>153</v>
      </c>
      <c r="B155" s="48">
        <v>3021021</v>
      </c>
      <c r="C155" s="10" t="s">
        <v>148</v>
      </c>
      <c r="D155" s="49">
        <v>6</v>
      </c>
      <c r="E155" s="50">
        <v>890</v>
      </c>
      <c r="F155" s="51">
        <v>0.35</v>
      </c>
      <c r="G155" s="52">
        <f t="shared" si="57"/>
        <v>311.5</v>
      </c>
      <c r="H155" s="53">
        <f t="shared" si="46"/>
        <v>578.5</v>
      </c>
      <c r="I155" s="63">
        <v>1587</v>
      </c>
      <c r="J155" s="55">
        <v>0.53</v>
      </c>
      <c r="K155" s="56">
        <f t="shared" si="47"/>
        <v>841.11</v>
      </c>
      <c r="L155" s="57">
        <f t="shared" si="38"/>
        <v>745.89</v>
      </c>
      <c r="M155" s="58">
        <f t="shared" si="39"/>
        <v>22.441646891632814</v>
      </c>
      <c r="N155" s="49">
        <v>1480</v>
      </c>
      <c r="O155" s="59">
        <v>0.36</v>
      </c>
      <c r="P155" s="11">
        <f t="shared" si="49"/>
        <v>532.79999999999995</v>
      </c>
      <c r="Q155" s="12">
        <f t="shared" si="50"/>
        <v>947.2</v>
      </c>
      <c r="R155" s="60">
        <v>1</v>
      </c>
      <c r="S155" s="61">
        <f t="shared" si="48"/>
        <v>578.5</v>
      </c>
      <c r="T155" s="62" t="s">
        <v>229</v>
      </c>
      <c r="U155" s="63">
        <f t="shared" si="40"/>
        <v>201.31000000000006</v>
      </c>
      <c r="V155" s="11">
        <f t="shared" si="41"/>
        <v>1207.8600000000004</v>
      </c>
      <c r="W155" s="63">
        <f t="shared" si="42"/>
        <v>368.70000000000005</v>
      </c>
      <c r="X155" s="63">
        <f t="shared" si="43"/>
        <v>2212.2000000000003</v>
      </c>
      <c r="Y155" s="49"/>
      <c r="Z155" s="13">
        <f t="shared" si="52"/>
        <v>5683.2000000000007</v>
      </c>
      <c r="AA155" s="13">
        <v>5328</v>
      </c>
      <c r="AB155" s="13">
        <f t="shared" si="54"/>
        <v>4475.34</v>
      </c>
      <c r="AC155" s="14">
        <f t="shared" si="55"/>
        <v>3471</v>
      </c>
    </row>
    <row r="156" spans="1:29" ht="15.95" customHeight="1" x14ac:dyDescent="0.25">
      <c r="A156" s="47">
        <v>154</v>
      </c>
      <c r="B156" s="48">
        <v>7101005</v>
      </c>
      <c r="C156" s="10" t="s">
        <v>149</v>
      </c>
      <c r="D156" s="49">
        <v>51</v>
      </c>
      <c r="E156" s="50">
        <v>250</v>
      </c>
      <c r="F156" s="51">
        <v>0.35</v>
      </c>
      <c r="G156" s="52">
        <f t="shared" ref="G156:G157" si="58">E156*F156</f>
        <v>87.5</v>
      </c>
      <c r="H156" s="53">
        <f t="shared" si="46"/>
        <v>162.5</v>
      </c>
      <c r="I156" s="63">
        <v>473.3</v>
      </c>
      <c r="J156" s="55">
        <v>0.53</v>
      </c>
      <c r="K156" s="56">
        <f t="shared" si="47"/>
        <v>250.84900000000002</v>
      </c>
      <c r="L156" s="57">
        <f t="shared" si="38"/>
        <v>222.45099999999999</v>
      </c>
      <c r="M156" s="58">
        <f t="shared" si="39"/>
        <v>26.950204764195259</v>
      </c>
      <c r="N156" s="49">
        <v>495</v>
      </c>
      <c r="O156" s="59">
        <v>0.36</v>
      </c>
      <c r="P156" s="11">
        <f t="shared" si="49"/>
        <v>178.2</v>
      </c>
      <c r="Q156" s="12">
        <f t="shared" si="50"/>
        <v>316.8</v>
      </c>
      <c r="R156" s="60">
        <v>1</v>
      </c>
      <c r="S156" s="61">
        <f t="shared" si="48"/>
        <v>162.5</v>
      </c>
      <c r="T156" s="62" t="s">
        <v>229</v>
      </c>
      <c r="U156" s="63">
        <f t="shared" si="40"/>
        <v>94.349000000000018</v>
      </c>
      <c r="V156" s="11">
        <f t="shared" si="41"/>
        <v>4811.7990000000009</v>
      </c>
      <c r="W156" s="63">
        <f t="shared" si="42"/>
        <v>154.30000000000001</v>
      </c>
      <c r="X156" s="63">
        <f t="shared" si="43"/>
        <v>7869.3</v>
      </c>
      <c r="Y156" s="49"/>
      <c r="Z156" s="13">
        <f t="shared" si="52"/>
        <v>16156.800000000001</v>
      </c>
      <c r="AA156" s="13">
        <v>15147</v>
      </c>
      <c r="AB156" s="13">
        <f t="shared" si="54"/>
        <v>11345.001</v>
      </c>
      <c r="AC156" s="14">
        <f t="shared" si="55"/>
        <v>8287.5</v>
      </c>
    </row>
    <row r="157" spans="1:29" ht="15.95" customHeight="1" x14ac:dyDescent="0.25">
      <c r="A157" s="47">
        <v>155</v>
      </c>
      <c r="B157" s="48">
        <v>5655030</v>
      </c>
      <c r="C157" s="10" t="s">
        <v>150</v>
      </c>
      <c r="D157" s="49">
        <v>1</v>
      </c>
      <c r="E157" s="50">
        <v>2990</v>
      </c>
      <c r="F157" s="51">
        <v>0.35</v>
      </c>
      <c r="G157" s="52">
        <f t="shared" si="58"/>
        <v>1046.5</v>
      </c>
      <c r="H157" s="53">
        <f t="shared" si="46"/>
        <v>1943.5</v>
      </c>
      <c r="I157" s="63">
        <v>3774</v>
      </c>
      <c r="J157" s="55">
        <v>0.53</v>
      </c>
      <c r="K157" s="56">
        <f t="shared" si="47"/>
        <v>2000.22</v>
      </c>
      <c r="L157" s="57">
        <f t="shared" si="38"/>
        <v>1773.78</v>
      </c>
      <c r="M157" s="58">
        <f t="shared" si="39"/>
        <v>-9.5682666396058149</v>
      </c>
      <c r="N157" s="49">
        <v>4455</v>
      </c>
      <c r="O157" s="59">
        <v>0.36</v>
      </c>
      <c r="P157" s="11">
        <f t="shared" si="49"/>
        <v>1603.8</v>
      </c>
      <c r="Q157" s="12">
        <f t="shared" si="50"/>
        <v>2851.2</v>
      </c>
      <c r="R157" s="60">
        <v>1</v>
      </c>
      <c r="S157" s="61">
        <f t="shared" si="48"/>
        <v>1773.78</v>
      </c>
      <c r="T157" s="62" t="s">
        <v>222</v>
      </c>
      <c r="U157" s="63">
        <f t="shared" si="40"/>
        <v>1077.4199999999998</v>
      </c>
      <c r="V157" s="11">
        <f t="shared" si="41"/>
        <v>1077.4199999999998</v>
      </c>
      <c r="W157" s="63">
        <f t="shared" si="42"/>
        <v>907.69999999999982</v>
      </c>
      <c r="X157" s="63">
        <f t="shared" si="43"/>
        <v>907.69999999999982</v>
      </c>
      <c r="Y157" s="49"/>
      <c r="Z157" s="13">
        <f t="shared" si="52"/>
        <v>2851.2</v>
      </c>
      <c r="AA157" s="13">
        <v>2673</v>
      </c>
      <c r="AB157" s="13">
        <f t="shared" si="54"/>
        <v>1773.78</v>
      </c>
      <c r="AC157" s="14">
        <f t="shared" si="55"/>
        <v>1943.5</v>
      </c>
    </row>
    <row r="158" spans="1:29" ht="15.95" customHeight="1" x14ac:dyDescent="0.25">
      <c r="A158" s="47">
        <v>156</v>
      </c>
      <c r="B158" s="48">
        <v>1000009</v>
      </c>
      <c r="C158" s="10" t="s">
        <v>197</v>
      </c>
      <c r="D158" s="49">
        <v>20</v>
      </c>
      <c r="E158" s="50">
        <v>0</v>
      </c>
      <c r="F158" s="51"/>
      <c r="G158" s="52"/>
      <c r="H158" s="53">
        <f t="shared" si="46"/>
        <v>0</v>
      </c>
      <c r="I158" s="63">
        <v>138.19999999999999</v>
      </c>
      <c r="J158" s="55">
        <v>0.53</v>
      </c>
      <c r="K158" s="56">
        <f t="shared" si="47"/>
        <v>73.245999999999995</v>
      </c>
      <c r="L158" s="57">
        <f t="shared" si="38"/>
        <v>64.953999999999994</v>
      </c>
      <c r="M158" s="58">
        <f t="shared" si="39"/>
        <v>100</v>
      </c>
      <c r="N158" s="49">
        <v>145</v>
      </c>
      <c r="O158" s="59">
        <v>0.36</v>
      </c>
      <c r="P158" s="11">
        <f t="shared" si="49"/>
        <v>52.199999999999996</v>
      </c>
      <c r="Q158" s="12">
        <f t="shared" si="50"/>
        <v>92.800000000000011</v>
      </c>
      <c r="R158" s="60">
        <v>1</v>
      </c>
      <c r="S158" s="61">
        <v>64.95</v>
      </c>
      <c r="T158" s="62" t="s">
        <v>222</v>
      </c>
      <c r="U158" s="63">
        <f t="shared" si="40"/>
        <v>27.846000000000018</v>
      </c>
      <c r="V158" s="11">
        <f t="shared" si="41"/>
        <v>556.9200000000003</v>
      </c>
      <c r="W158" s="63">
        <f t="shared" si="42"/>
        <v>92.800000000000011</v>
      </c>
      <c r="X158" s="63">
        <f t="shared" si="43"/>
        <v>1856.0000000000002</v>
      </c>
      <c r="Y158" s="49"/>
      <c r="Z158" s="13">
        <f t="shared" si="52"/>
        <v>1856.0000000000002</v>
      </c>
      <c r="AA158" s="13">
        <v>1740</v>
      </c>
      <c r="AB158" s="13">
        <f t="shared" si="54"/>
        <v>1299.08</v>
      </c>
      <c r="AC158" s="14">
        <f t="shared" si="55"/>
        <v>0</v>
      </c>
    </row>
    <row r="159" spans="1:29" ht="15.95" customHeight="1" x14ac:dyDescent="0.25">
      <c r="A159" s="47">
        <v>157</v>
      </c>
      <c r="B159" s="48">
        <v>1625009</v>
      </c>
      <c r="C159" s="10" t="s">
        <v>198</v>
      </c>
      <c r="D159" s="49">
        <v>5</v>
      </c>
      <c r="E159" s="50">
        <v>0</v>
      </c>
      <c r="F159" s="51"/>
      <c r="G159" s="52"/>
      <c r="H159" s="53">
        <f t="shared" si="46"/>
        <v>0</v>
      </c>
      <c r="I159" s="63">
        <v>639.5</v>
      </c>
      <c r="J159" s="55">
        <v>0.53</v>
      </c>
      <c r="K159" s="56">
        <f t="shared" si="47"/>
        <v>338.935</v>
      </c>
      <c r="L159" s="57">
        <f t="shared" si="38"/>
        <v>300.565</v>
      </c>
      <c r="M159" s="58">
        <f t="shared" si="39"/>
        <v>100</v>
      </c>
      <c r="N159" s="49">
        <v>665</v>
      </c>
      <c r="O159" s="59">
        <v>0.36</v>
      </c>
      <c r="P159" s="11">
        <f t="shared" si="49"/>
        <v>239.39999999999998</v>
      </c>
      <c r="Q159" s="12">
        <f t="shared" si="50"/>
        <v>425.6</v>
      </c>
      <c r="R159" s="60">
        <v>1</v>
      </c>
      <c r="S159" s="61">
        <v>300.57</v>
      </c>
      <c r="T159" s="62" t="s">
        <v>222</v>
      </c>
      <c r="U159" s="63">
        <f t="shared" si="40"/>
        <v>125.03500000000003</v>
      </c>
      <c r="V159" s="11">
        <f t="shared" si="41"/>
        <v>625.17500000000018</v>
      </c>
      <c r="W159" s="63">
        <f t="shared" si="42"/>
        <v>425.6</v>
      </c>
      <c r="X159" s="63">
        <f t="shared" si="43"/>
        <v>2128</v>
      </c>
      <c r="Y159" s="49"/>
      <c r="Z159" s="13">
        <f t="shared" si="52"/>
        <v>2128</v>
      </c>
      <c r="AA159" s="13">
        <v>1995</v>
      </c>
      <c r="AB159" s="13">
        <f t="shared" si="54"/>
        <v>1502.825</v>
      </c>
      <c r="AC159" s="14">
        <f t="shared" si="55"/>
        <v>0</v>
      </c>
    </row>
    <row r="160" spans="1:29" ht="15.95" customHeight="1" x14ac:dyDescent="0.25">
      <c r="A160" s="47">
        <v>158</v>
      </c>
      <c r="B160" s="48">
        <v>3021016</v>
      </c>
      <c r="C160" s="10" t="s">
        <v>151</v>
      </c>
      <c r="D160" s="49">
        <v>5</v>
      </c>
      <c r="E160" s="50">
        <v>600</v>
      </c>
      <c r="F160" s="51">
        <v>0.35</v>
      </c>
      <c r="G160" s="52">
        <f>E160*F160</f>
        <v>210</v>
      </c>
      <c r="H160" s="53">
        <f t="shared" si="46"/>
        <v>390</v>
      </c>
      <c r="I160" s="63">
        <v>1090.5</v>
      </c>
      <c r="J160" s="55">
        <v>0.53</v>
      </c>
      <c r="K160" s="56">
        <f t="shared" si="47"/>
        <v>577.96500000000003</v>
      </c>
      <c r="L160" s="57">
        <f t="shared" si="38"/>
        <v>512.53499999999997</v>
      </c>
      <c r="M160" s="58">
        <f t="shared" si="39"/>
        <v>23.907635576106991</v>
      </c>
      <c r="N160" s="49">
        <v>1005</v>
      </c>
      <c r="O160" s="59">
        <v>0.36</v>
      </c>
      <c r="P160" s="11">
        <f t="shared" si="49"/>
        <v>361.8</v>
      </c>
      <c r="Q160" s="12">
        <f t="shared" si="50"/>
        <v>643.20000000000005</v>
      </c>
      <c r="R160" s="60">
        <v>1</v>
      </c>
      <c r="S160" s="61">
        <f t="shared" si="48"/>
        <v>390</v>
      </c>
      <c r="T160" s="62" t="s">
        <v>229</v>
      </c>
      <c r="U160" s="63">
        <f t="shared" si="40"/>
        <v>130.66500000000008</v>
      </c>
      <c r="V160" s="11">
        <f t="shared" si="41"/>
        <v>653.32500000000039</v>
      </c>
      <c r="W160" s="63">
        <f t="shared" si="42"/>
        <v>253.20000000000005</v>
      </c>
      <c r="X160" s="63">
        <f t="shared" si="43"/>
        <v>1266.0000000000002</v>
      </c>
      <c r="Y160" s="49"/>
      <c r="Z160" s="13">
        <f t="shared" si="52"/>
        <v>3216</v>
      </c>
      <c r="AA160" s="13">
        <v>3015</v>
      </c>
      <c r="AB160" s="13">
        <f t="shared" si="54"/>
        <v>2562.6749999999997</v>
      </c>
      <c r="AC160" s="14">
        <f t="shared" si="55"/>
        <v>1950</v>
      </c>
    </row>
    <row r="161" spans="1:29" ht="15.95" customHeight="1" x14ac:dyDescent="0.25">
      <c r="A161" s="47">
        <v>159</v>
      </c>
      <c r="B161" s="48">
        <v>940050</v>
      </c>
      <c r="C161" s="10" t="s">
        <v>152</v>
      </c>
      <c r="D161" s="49">
        <v>5</v>
      </c>
      <c r="E161" s="50">
        <v>0</v>
      </c>
      <c r="F161" s="51"/>
      <c r="G161" s="52"/>
      <c r="H161" s="53">
        <f t="shared" si="46"/>
        <v>0</v>
      </c>
      <c r="I161" s="63">
        <v>853.9</v>
      </c>
      <c r="J161" s="55">
        <v>0.53</v>
      </c>
      <c r="K161" s="56">
        <f t="shared" si="47"/>
        <v>452.56700000000001</v>
      </c>
      <c r="L161" s="57">
        <f t="shared" si="38"/>
        <v>401.33299999999997</v>
      </c>
      <c r="M161" s="58">
        <f t="shared" si="39"/>
        <v>100</v>
      </c>
      <c r="N161" s="49">
        <v>915</v>
      </c>
      <c r="O161" s="59">
        <v>0.36</v>
      </c>
      <c r="P161" s="11">
        <f t="shared" si="49"/>
        <v>329.4</v>
      </c>
      <c r="Q161" s="12">
        <f t="shared" si="50"/>
        <v>585.6</v>
      </c>
      <c r="R161" s="60">
        <v>1</v>
      </c>
      <c r="S161" s="61">
        <v>401.33</v>
      </c>
      <c r="T161" s="62" t="s">
        <v>222</v>
      </c>
      <c r="U161" s="63">
        <f t="shared" si="40"/>
        <v>184.26700000000005</v>
      </c>
      <c r="V161" s="11">
        <f t="shared" si="41"/>
        <v>921.33500000000026</v>
      </c>
      <c r="W161" s="63">
        <f t="shared" si="42"/>
        <v>585.6</v>
      </c>
      <c r="X161" s="63">
        <f t="shared" si="43"/>
        <v>2928</v>
      </c>
      <c r="Y161" s="49"/>
      <c r="Z161" s="13">
        <f t="shared" si="52"/>
        <v>2928</v>
      </c>
      <c r="AA161" s="13">
        <v>2745</v>
      </c>
      <c r="AB161" s="13">
        <f t="shared" si="54"/>
        <v>2006.665</v>
      </c>
      <c r="AC161" s="14">
        <f t="shared" si="55"/>
        <v>0</v>
      </c>
    </row>
    <row r="162" spans="1:29" ht="15.95" customHeight="1" x14ac:dyDescent="0.25">
      <c r="A162" s="47">
        <v>160</v>
      </c>
      <c r="B162" s="48" t="s">
        <v>188</v>
      </c>
      <c r="C162" s="10" t="s">
        <v>153</v>
      </c>
      <c r="D162" s="49">
        <v>26</v>
      </c>
      <c r="E162" s="50">
        <v>300</v>
      </c>
      <c r="F162" s="51">
        <v>0.35</v>
      </c>
      <c r="G162" s="52">
        <f t="shared" ref="G162:G168" si="59">E162*F162</f>
        <v>105</v>
      </c>
      <c r="H162" s="53">
        <f t="shared" si="46"/>
        <v>195</v>
      </c>
      <c r="I162" s="63">
        <v>1148</v>
      </c>
      <c r="J162" s="55">
        <v>0.53</v>
      </c>
      <c r="K162" s="56">
        <f t="shared" si="47"/>
        <v>608.44000000000005</v>
      </c>
      <c r="L162" s="57">
        <f t="shared" si="38"/>
        <v>539.55999999999995</v>
      </c>
      <c r="M162" s="58">
        <f t="shared" si="39"/>
        <v>63.859441026021194</v>
      </c>
      <c r="N162" s="49">
        <v>590</v>
      </c>
      <c r="O162" s="59">
        <v>0.36</v>
      </c>
      <c r="P162" s="11">
        <f t="shared" si="49"/>
        <v>212.4</v>
      </c>
      <c r="Q162" s="12">
        <f t="shared" si="50"/>
        <v>377.6</v>
      </c>
      <c r="R162" s="60">
        <v>1</v>
      </c>
      <c r="S162" s="61">
        <f t="shared" si="48"/>
        <v>195</v>
      </c>
      <c r="T162" s="62" t="s">
        <v>229</v>
      </c>
      <c r="U162" s="63">
        <f t="shared" si="40"/>
        <v>-161.95999999999992</v>
      </c>
      <c r="V162" s="11">
        <f t="shared" si="41"/>
        <v>-4210.9599999999982</v>
      </c>
      <c r="W162" s="63">
        <f t="shared" si="42"/>
        <v>182.60000000000002</v>
      </c>
      <c r="X162" s="63">
        <f t="shared" si="43"/>
        <v>4747.6000000000004</v>
      </c>
      <c r="Y162" s="49"/>
      <c r="Z162" s="13">
        <f t="shared" si="52"/>
        <v>9817.6</v>
      </c>
      <c r="AA162" s="13">
        <v>9204</v>
      </c>
      <c r="AB162" s="13">
        <f t="shared" si="54"/>
        <v>14028.559999999998</v>
      </c>
      <c r="AC162" s="14">
        <f t="shared" si="55"/>
        <v>5070</v>
      </c>
    </row>
    <row r="163" spans="1:29" ht="15.95" customHeight="1" x14ac:dyDescent="0.25">
      <c r="A163" s="47">
        <v>161</v>
      </c>
      <c r="B163" s="48" t="s">
        <v>190</v>
      </c>
      <c r="C163" s="10" t="s">
        <v>154</v>
      </c>
      <c r="D163" s="49">
        <v>26</v>
      </c>
      <c r="E163" s="50">
        <v>325</v>
      </c>
      <c r="F163" s="51">
        <v>0.35</v>
      </c>
      <c r="G163" s="52">
        <f t="shared" si="59"/>
        <v>113.74999999999999</v>
      </c>
      <c r="H163" s="53">
        <f t="shared" si="46"/>
        <v>211.25</v>
      </c>
      <c r="I163" s="63">
        <v>1290</v>
      </c>
      <c r="J163" s="55">
        <v>0.53</v>
      </c>
      <c r="K163" s="56">
        <f t="shared" si="47"/>
        <v>683.7</v>
      </c>
      <c r="L163" s="57">
        <f t="shared" si="38"/>
        <v>606.29999999999995</v>
      </c>
      <c r="M163" s="58">
        <f t="shared" si="39"/>
        <v>65.157512782450922</v>
      </c>
      <c r="N163" s="49">
        <v>670</v>
      </c>
      <c r="O163" s="59">
        <v>0.36</v>
      </c>
      <c r="P163" s="11">
        <f t="shared" si="49"/>
        <v>241.2</v>
      </c>
      <c r="Q163" s="12">
        <f t="shared" si="50"/>
        <v>428.8</v>
      </c>
      <c r="R163" s="60">
        <v>1</v>
      </c>
      <c r="S163" s="61">
        <f t="shared" si="48"/>
        <v>211.25</v>
      </c>
      <c r="T163" s="62" t="s">
        <v>229</v>
      </c>
      <c r="U163" s="63">
        <f t="shared" si="40"/>
        <v>-177.49999999999994</v>
      </c>
      <c r="V163" s="11">
        <f t="shared" si="41"/>
        <v>-4614.9999999999982</v>
      </c>
      <c r="W163" s="63">
        <f t="shared" si="42"/>
        <v>217.55</v>
      </c>
      <c r="X163" s="63">
        <f t="shared" si="43"/>
        <v>5656.3</v>
      </c>
      <c r="Y163" s="49"/>
      <c r="Z163" s="13">
        <f t="shared" si="52"/>
        <v>11148.800000000001</v>
      </c>
      <c r="AA163" s="13">
        <v>10452</v>
      </c>
      <c r="AB163" s="13">
        <f t="shared" si="54"/>
        <v>15763.8</v>
      </c>
      <c r="AC163" s="14">
        <f t="shared" si="55"/>
        <v>5492.5</v>
      </c>
    </row>
    <row r="164" spans="1:29" ht="15.95" customHeight="1" x14ac:dyDescent="0.25">
      <c r="A164" s="47">
        <v>162</v>
      </c>
      <c r="B164" s="48" t="s">
        <v>189</v>
      </c>
      <c r="C164" s="10" t="s">
        <v>155</v>
      </c>
      <c r="D164" s="49">
        <v>21</v>
      </c>
      <c r="E164" s="50">
        <v>300</v>
      </c>
      <c r="F164" s="51">
        <v>0.35</v>
      </c>
      <c r="G164" s="52">
        <f t="shared" si="59"/>
        <v>105</v>
      </c>
      <c r="H164" s="53">
        <f t="shared" si="46"/>
        <v>195</v>
      </c>
      <c r="I164" s="63">
        <v>1202</v>
      </c>
      <c r="J164" s="55">
        <v>0.53</v>
      </c>
      <c r="K164" s="56">
        <f t="shared" si="47"/>
        <v>637.06000000000006</v>
      </c>
      <c r="L164" s="57">
        <f t="shared" si="38"/>
        <v>564.93999999999994</v>
      </c>
      <c r="M164" s="58">
        <f t="shared" si="39"/>
        <v>65.483060147980311</v>
      </c>
      <c r="N164" s="49">
        <v>580</v>
      </c>
      <c r="O164" s="59">
        <v>0.36</v>
      </c>
      <c r="P164" s="11">
        <f t="shared" si="49"/>
        <v>208.79999999999998</v>
      </c>
      <c r="Q164" s="12">
        <f t="shared" si="50"/>
        <v>371.20000000000005</v>
      </c>
      <c r="R164" s="60">
        <v>1</v>
      </c>
      <c r="S164" s="61">
        <f t="shared" si="48"/>
        <v>195</v>
      </c>
      <c r="T164" s="62" t="s">
        <v>229</v>
      </c>
      <c r="U164" s="63">
        <f t="shared" si="40"/>
        <v>-193.7399999999999</v>
      </c>
      <c r="V164" s="11">
        <f t="shared" si="41"/>
        <v>-4068.5399999999977</v>
      </c>
      <c r="W164" s="63">
        <f t="shared" si="42"/>
        <v>176.20000000000005</v>
      </c>
      <c r="X164" s="63">
        <f t="shared" si="43"/>
        <v>3700.2000000000007</v>
      </c>
      <c r="Y164" s="49"/>
      <c r="Z164" s="13">
        <f t="shared" si="52"/>
        <v>7795.2000000000007</v>
      </c>
      <c r="AA164" s="13">
        <v>7308</v>
      </c>
      <c r="AB164" s="13">
        <f t="shared" si="54"/>
        <v>11863.739999999998</v>
      </c>
      <c r="AC164" s="14">
        <f t="shared" si="55"/>
        <v>4095</v>
      </c>
    </row>
    <row r="165" spans="1:29" ht="15.95" customHeight="1" x14ac:dyDescent="0.25">
      <c r="A165" s="47">
        <v>163</v>
      </c>
      <c r="B165" s="48">
        <v>7101001</v>
      </c>
      <c r="C165" s="10" t="s">
        <v>156</v>
      </c>
      <c r="D165" s="49">
        <v>28</v>
      </c>
      <c r="E165" s="50">
        <v>220</v>
      </c>
      <c r="F165" s="51">
        <v>0.35</v>
      </c>
      <c r="G165" s="52">
        <f t="shared" si="59"/>
        <v>77</v>
      </c>
      <c r="H165" s="53">
        <f t="shared" si="46"/>
        <v>143</v>
      </c>
      <c r="I165" s="63">
        <v>399.1</v>
      </c>
      <c r="J165" s="55">
        <v>0.53</v>
      </c>
      <c r="K165" s="56">
        <f t="shared" si="47"/>
        <v>211.52300000000002</v>
      </c>
      <c r="L165" s="57">
        <f t="shared" si="38"/>
        <v>187.577</v>
      </c>
      <c r="M165" s="58">
        <f t="shared" si="39"/>
        <v>23.764640654237994</v>
      </c>
      <c r="N165" s="49">
        <v>415</v>
      </c>
      <c r="O165" s="59">
        <v>0.36</v>
      </c>
      <c r="P165" s="11">
        <f t="shared" si="49"/>
        <v>149.4</v>
      </c>
      <c r="Q165" s="12">
        <f t="shared" si="50"/>
        <v>265.60000000000002</v>
      </c>
      <c r="R165" s="60">
        <v>1</v>
      </c>
      <c r="S165" s="61">
        <f t="shared" si="48"/>
        <v>143</v>
      </c>
      <c r="T165" s="62" t="s">
        <v>229</v>
      </c>
      <c r="U165" s="63">
        <f t="shared" si="40"/>
        <v>78.023000000000025</v>
      </c>
      <c r="V165" s="11">
        <f t="shared" si="41"/>
        <v>2184.6440000000007</v>
      </c>
      <c r="W165" s="63">
        <f t="shared" si="42"/>
        <v>122.60000000000002</v>
      </c>
      <c r="X165" s="63">
        <f t="shared" si="43"/>
        <v>3432.8000000000006</v>
      </c>
      <c r="Y165" s="49"/>
      <c r="Z165" s="13">
        <f t="shared" si="52"/>
        <v>7436.8000000000011</v>
      </c>
      <c r="AA165" s="13">
        <v>6972</v>
      </c>
      <c r="AB165" s="13">
        <f t="shared" si="54"/>
        <v>5252.1559999999999</v>
      </c>
      <c r="AC165" s="14">
        <f t="shared" si="55"/>
        <v>4004</v>
      </c>
    </row>
    <row r="166" spans="1:29" ht="15.95" customHeight="1" x14ac:dyDescent="0.25">
      <c r="A166" s="47">
        <v>164</v>
      </c>
      <c r="B166" s="48" t="s">
        <v>199</v>
      </c>
      <c r="C166" s="10" t="s">
        <v>157</v>
      </c>
      <c r="D166" s="49">
        <v>40</v>
      </c>
      <c r="E166" s="50">
        <v>55</v>
      </c>
      <c r="F166" s="51">
        <v>0.35</v>
      </c>
      <c r="G166" s="52">
        <f t="shared" si="59"/>
        <v>19.25</v>
      </c>
      <c r="H166" s="53">
        <f t="shared" si="46"/>
        <v>35.75</v>
      </c>
      <c r="I166" s="49"/>
      <c r="J166" s="55"/>
      <c r="K166" s="56">
        <f t="shared" si="47"/>
        <v>0</v>
      </c>
      <c r="L166" s="57">
        <f t="shared" si="38"/>
        <v>0</v>
      </c>
      <c r="M166" s="64"/>
      <c r="N166" s="49">
        <v>110</v>
      </c>
      <c r="O166" s="59">
        <v>0.36</v>
      </c>
      <c r="P166" s="11">
        <f t="shared" si="49"/>
        <v>39.6</v>
      </c>
      <c r="Q166" s="12">
        <f t="shared" si="50"/>
        <v>70.400000000000006</v>
      </c>
      <c r="R166" s="60">
        <v>1</v>
      </c>
      <c r="S166" s="61">
        <v>35.75</v>
      </c>
      <c r="T166" s="62" t="s">
        <v>229</v>
      </c>
      <c r="U166" s="63">
        <f t="shared" si="40"/>
        <v>70.400000000000006</v>
      </c>
      <c r="V166" s="11">
        <f t="shared" si="41"/>
        <v>2816</v>
      </c>
      <c r="W166" s="63">
        <f t="shared" si="42"/>
        <v>34.650000000000006</v>
      </c>
      <c r="X166" s="63">
        <f t="shared" si="43"/>
        <v>1386.0000000000002</v>
      </c>
      <c r="Y166" s="49"/>
      <c r="Z166" s="13">
        <f t="shared" si="52"/>
        <v>2816</v>
      </c>
      <c r="AA166" s="13">
        <v>2640</v>
      </c>
      <c r="AB166" s="13">
        <f t="shared" si="54"/>
        <v>0</v>
      </c>
      <c r="AC166" s="14">
        <f t="shared" si="55"/>
        <v>1430</v>
      </c>
    </row>
    <row r="167" spans="1:29" ht="15.95" customHeight="1" x14ac:dyDescent="0.25">
      <c r="A167" s="47">
        <v>165</v>
      </c>
      <c r="B167" s="48" t="s">
        <v>200</v>
      </c>
      <c r="C167" s="10" t="s">
        <v>158</v>
      </c>
      <c r="D167" s="49">
        <v>40</v>
      </c>
      <c r="E167" s="50">
        <v>80</v>
      </c>
      <c r="F167" s="51">
        <v>0.35</v>
      </c>
      <c r="G167" s="52">
        <f t="shared" si="59"/>
        <v>28</v>
      </c>
      <c r="H167" s="53">
        <f t="shared" si="46"/>
        <v>52</v>
      </c>
      <c r="I167" s="49"/>
      <c r="J167" s="55"/>
      <c r="K167" s="56">
        <f t="shared" si="47"/>
        <v>0</v>
      </c>
      <c r="L167" s="57">
        <f t="shared" si="38"/>
        <v>0</v>
      </c>
      <c r="M167" s="64"/>
      <c r="N167" s="49">
        <v>135</v>
      </c>
      <c r="O167" s="59">
        <v>0.36</v>
      </c>
      <c r="P167" s="11">
        <f t="shared" si="49"/>
        <v>48.6</v>
      </c>
      <c r="Q167" s="12">
        <f t="shared" si="50"/>
        <v>86.4</v>
      </c>
      <c r="R167" s="60">
        <v>1</v>
      </c>
      <c r="S167" s="61">
        <v>52</v>
      </c>
      <c r="T167" s="62" t="s">
        <v>229</v>
      </c>
      <c r="U167" s="63">
        <f t="shared" si="40"/>
        <v>86.4</v>
      </c>
      <c r="V167" s="11">
        <f t="shared" si="41"/>
        <v>3456</v>
      </c>
      <c r="W167" s="63">
        <f t="shared" si="42"/>
        <v>34.400000000000006</v>
      </c>
      <c r="X167" s="63">
        <f t="shared" si="43"/>
        <v>1376.0000000000002</v>
      </c>
      <c r="Y167" s="49"/>
      <c r="Z167" s="13">
        <f t="shared" si="52"/>
        <v>3456</v>
      </c>
      <c r="AA167" s="13">
        <v>3240</v>
      </c>
      <c r="AB167" s="13">
        <f t="shared" si="54"/>
        <v>0</v>
      </c>
      <c r="AC167" s="14">
        <f t="shared" si="55"/>
        <v>2080</v>
      </c>
    </row>
    <row r="168" spans="1:29" ht="15.95" customHeight="1" x14ac:dyDescent="0.25">
      <c r="A168" s="47">
        <v>166</v>
      </c>
      <c r="B168" s="48" t="s">
        <v>201</v>
      </c>
      <c r="C168" s="10" t="s">
        <v>159</v>
      </c>
      <c r="D168" s="49">
        <v>20</v>
      </c>
      <c r="E168" s="50">
        <v>65</v>
      </c>
      <c r="F168" s="51">
        <v>0.35</v>
      </c>
      <c r="G168" s="52">
        <f t="shared" si="59"/>
        <v>22.75</v>
      </c>
      <c r="H168" s="53">
        <f t="shared" si="46"/>
        <v>42.25</v>
      </c>
      <c r="I168" s="49"/>
      <c r="J168" s="55"/>
      <c r="K168" s="56">
        <f t="shared" si="47"/>
        <v>0</v>
      </c>
      <c r="L168" s="57">
        <f t="shared" si="38"/>
        <v>0</v>
      </c>
      <c r="M168" s="64"/>
      <c r="N168" s="49">
        <v>115</v>
      </c>
      <c r="O168" s="59">
        <v>0.36</v>
      </c>
      <c r="P168" s="11">
        <f t="shared" si="49"/>
        <v>41.4</v>
      </c>
      <c r="Q168" s="12">
        <f t="shared" si="50"/>
        <v>73.599999999999994</v>
      </c>
      <c r="R168" s="60">
        <v>1</v>
      </c>
      <c r="S168" s="61">
        <v>42.25</v>
      </c>
      <c r="T168" s="62" t="s">
        <v>229</v>
      </c>
      <c r="U168" s="63">
        <f t="shared" si="40"/>
        <v>73.599999999999994</v>
      </c>
      <c r="V168" s="11">
        <f t="shared" si="41"/>
        <v>1472</v>
      </c>
      <c r="W168" s="63">
        <f t="shared" si="42"/>
        <v>31.349999999999994</v>
      </c>
      <c r="X168" s="63">
        <f t="shared" si="43"/>
        <v>626.99999999999989</v>
      </c>
      <c r="Y168" s="49"/>
      <c r="Z168" s="13">
        <f t="shared" si="52"/>
        <v>1472</v>
      </c>
      <c r="AA168" s="13">
        <v>1380</v>
      </c>
      <c r="AB168" s="13">
        <f t="shared" si="54"/>
        <v>0</v>
      </c>
      <c r="AC168" s="14">
        <f t="shared" si="55"/>
        <v>845</v>
      </c>
    </row>
    <row r="169" spans="1:29" ht="15.95" customHeight="1" x14ac:dyDescent="0.25">
      <c r="A169" s="47">
        <v>167</v>
      </c>
      <c r="B169" s="48">
        <v>4980009</v>
      </c>
      <c r="C169" s="10" t="s">
        <v>203</v>
      </c>
      <c r="D169" s="49">
        <v>2</v>
      </c>
      <c r="E169" s="50">
        <v>0</v>
      </c>
      <c r="F169" s="51"/>
      <c r="G169" s="52"/>
      <c r="H169" s="53">
        <f t="shared" si="46"/>
        <v>0</v>
      </c>
      <c r="I169" s="63">
        <v>109.5</v>
      </c>
      <c r="J169" s="55">
        <v>0.53</v>
      </c>
      <c r="K169" s="56">
        <f t="shared" si="47"/>
        <v>58.035000000000004</v>
      </c>
      <c r="L169" s="57">
        <f t="shared" si="38"/>
        <v>51.464999999999996</v>
      </c>
      <c r="M169" s="58">
        <f t="shared" si="39"/>
        <v>100.00000000000001</v>
      </c>
      <c r="N169" s="49">
        <v>110</v>
      </c>
      <c r="O169" s="59">
        <v>0.36</v>
      </c>
      <c r="P169" s="11">
        <f t="shared" si="49"/>
        <v>39.6</v>
      </c>
      <c r="Q169" s="12">
        <f t="shared" si="50"/>
        <v>70.400000000000006</v>
      </c>
      <c r="R169" s="60">
        <v>1</v>
      </c>
      <c r="S169" s="61">
        <v>51.47</v>
      </c>
      <c r="T169" s="62" t="s">
        <v>222</v>
      </c>
      <c r="U169" s="63">
        <f t="shared" si="40"/>
        <v>18.935000000000009</v>
      </c>
      <c r="V169" s="11">
        <f t="shared" si="41"/>
        <v>37.870000000000019</v>
      </c>
      <c r="W169" s="63">
        <f t="shared" si="42"/>
        <v>70.400000000000006</v>
      </c>
      <c r="X169" s="63">
        <f t="shared" si="43"/>
        <v>140.80000000000001</v>
      </c>
      <c r="Y169" s="49"/>
      <c r="Z169" s="13">
        <f t="shared" si="52"/>
        <v>140.80000000000001</v>
      </c>
      <c r="AA169" s="13">
        <v>132</v>
      </c>
      <c r="AB169" s="13">
        <f t="shared" si="54"/>
        <v>102.92999999999999</v>
      </c>
      <c r="AC169" s="14">
        <f t="shared" si="55"/>
        <v>0</v>
      </c>
    </row>
    <row r="170" spans="1:29" ht="15.95" customHeight="1" x14ac:dyDescent="0.25">
      <c r="A170" s="47">
        <v>168</v>
      </c>
      <c r="B170" s="48">
        <v>4980012</v>
      </c>
      <c r="C170" s="10" t="s">
        <v>202</v>
      </c>
      <c r="D170" s="49">
        <v>2</v>
      </c>
      <c r="E170" s="50">
        <v>0</v>
      </c>
      <c r="F170" s="51"/>
      <c r="G170" s="52"/>
      <c r="H170" s="53">
        <f t="shared" si="46"/>
        <v>0</v>
      </c>
      <c r="I170" s="63">
        <v>109.5</v>
      </c>
      <c r="J170" s="55">
        <v>0.53</v>
      </c>
      <c r="K170" s="56">
        <f t="shared" si="47"/>
        <v>58.035000000000004</v>
      </c>
      <c r="L170" s="57">
        <f t="shared" ref="L170:L181" si="60">I170-K170</f>
        <v>51.464999999999996</v>
      </c>
      <c r="M170" s="58">
        <f t="shared" ref="M170:M181" si="61">(L170-H170)*100/L170</f>
        <v>100.00000000000001</v>
      </c>
      <c r="N170" s="49">
        <v>110</v>
      </c>
      <c r="O170" s="59">
        <v>0.36</v>
      </c>
      <c r="P170" s="11">
        <f t="shared" si="49"/>
        <v>39.6</v>
      </c>
      <c r="Q170" s="12">
        <f t="shared" si="50"/>
        <v>70.400000000000006</v>
      </c>
      <c r="R170" s="60">
        <v>1</v>
      </c>
      <c r="S170" s="61">
        <v>51.47</v>
      </c>
      <c r="T170" s="62" t="s">
        <v>222</v>
      </c>
      <c r="U170" s="63">
        <f t="shared" ref="U170:U181" si="62">Q170-L170</f>
        <v>18.935000000000009</v>
      </c>
      <c r="V170" s="11">
        <f t="shared" ref="V170:V181" si="63">U170*D170</f>
        <v>37.870000000000019</v>
      </c>
      <c r="W170" s="63">
        <f t="shared" ref="W170:W181" si="64">Q170-H170</f>
        <v>70.400000000000006</v>
      </c>
      <c r="X170" s="63">
        <f t="shared" ref="X170:X181" si="65">W170*D170</f>
        <v>140.80000000000001</v>
      </c>
      <c r="Y170" s="49"/>
      <c r="Z170" s="13">
        <f t="shared" si="52"/>
        <v>140.80000000000001</v>
      </c>
      <c r="AA170" s="13">
        <v>132</v>
      </c>
      <c r="AB170" s="13">
        <f t="shared" si="54"/>
        <v>102.92999999999999</v>
      </c>
      <c r="AC170" s="14">
        <f t="shared" si="55"/>
        <v>0</v>
      </c>
    </row>
    <row r="171" spans="1:29" ht="15.95" customHeight="1" x14ac:dyDescent="0.25">
      <c r="A171" s="47">
        <v>169</v>
      </c>
      <c r="B171" s="48">
        <v>5655008</v>
      </c>
      <c r="C171" s="10" t="s">
        <v>160</v>
      </c>
      <c r="D171" s="49">
        <v>10</v>
      </c>
      <c r="E171" s="50">
        <v>520</v>
      </c>
      <c r="F171" s="51">
        <v>0.35</v>
      </c>
      <c r="G171" s="52">
        <f>E171*F171</f>
        <v>182</v>
      </c>
      <c r="H171" s="53">
        <f t="shared" ref="H171:H181" si="66">E171-G171</f>
        <v>338</v>
      </c>
      <c r="I171" s="63">
        <v>1131.5</v>
      </c>
      <c r="J171" s="55">
        <v>0.53</v>
      </c>
      <c r="K171" s="56">
        <f t="shared" ref="K171:K181" si="67">I171*J171</f>
        <v>599.69500000000005</v>
      </c>
      <c r="L171" s="57">
        <f t="shared" si="60"/>
        <v>531.80499999999995</v>
      </c>
      <c r="M171" s="58">
        <f t="shared" si="61"/>
        <v>36.442869096755388</v>
      </c>
      <c r="N171" s="49">
        <v>1175</v>
      </c>
      <c r="O171" s="59">
        <v>0.36</v>
      </c>
      <c r="P171" s="11">
        <f t="shared" si="49"/>
        <v>423</v>
      </c>
      <c r="Q171" s="12">
        <f t="shared" si="50"/>
        <v>752</v>
      </c>
      <c r="R171" s="60">
        <v>1</v>
      </c>
      <c r="S171" s="61">
        <f t="shared" ref="S171:S181" si="68">MIN(H171,L171,Q171)</f>
        <v>338</v>
      </c>
      <c r="T171" s="62" t="s">
        <v>229</v>
      </c>
      <c r="U171" s="63">
        <f t="shared" si="62"/>
        <v>220.19500000000005</v>
      </c>
      <c r="V171" s="11">
        <f t="shared" si="63"/>
        <v>2201.9500000000007</v>
      </c>
      <c r="W171" s="63">
        <f t="shared" si="64"/>
        <v>414</v>
      </c>
      <c r="X171" s="63">
        <f t="shared" si="65"/>
        <v>4140</v>
      </c>
      <c r="Y171" s="49"/>
      <c r="Z171" s="13">
        <f t="shared" si="52"/>
        <v>7520</v>
      </c>
      <c r="AA171" s="13">
        <v>7050</v>
      </c>
      <c r="AB171" s="13">
        <f t="shared" ref="AB171:AB181" si="69">L171*D171</f>
        <v>5318.0499999999993</v>
      </c>
      <c r="AC171" s="14">
        <f t="shared" ref="AC171:AC181" si="70">H171*D171</f>
        <v>3380</v>
      </c>
    </row>
    <row r="172" spans="1:29" ht="15.95" customHeight="1" x14ac:dyDescent="0.25">
      <c r="A172" s="47">
        <v>170</v>
      </c>
      <c r="B172" s="48">
        <v>5655024</v>
      </c>
      <c r="C172" s="10" t="s">
        <v>161</v>
      </c>
      <c r="D172" s="49">
        <v>22</v>
      </c>
      <c r="E172" s="50">
        <v>1120</v>
      </c>
      <c r="F172" s="51">
        <v>0.35</v>
      </c>
      <c r="G172" s="52">
        <f t="shared" ref="G172:G173" si="71">E172*F172</f>
        <v>392</v>
      </c>
      <c r="H172" s="53">
        <f t="shared" si="66"/>
        <v>728</v>
      </c>
      <c r="I172" s="63">
        <v>1830</v>
      </c>
      <c r="J172" s="55">
        <v>0.53</v>
      </c>
      <c r="K172" s="56">
        <f t="shared" si="67"/>
        <v>969.90000000000009</v>
      </c>
      <c r="L172" s="57">
        <f t="shared" si="60"/>
        <v>860.09999999999991</v>
      </c>
      <c r="M172" s="58">
        <f t="shared" si="61"/>
        <v>15.358679223346114</v>
      </c>
      <c r="N172" s="49">
        <v>1895</v>
      </c>
      <c r="O172" s="59">
        <v>0.36</v>
      </c>
      <c r="P172" s="11">
        <f t="shared" ref="P172:P181" si="72">N172*O172</f>
        <v>682.19999999999993</v>
      </c>
      <c r="Q172" s="12">
        <f t="shared" ref="Q172:Q181" si="73">N172-P172</f>
        <v>1212.8000000000002</v>
      </c>
      <c r="R172" s="60">
        <v>1</v>
      </c>
      <c r="S172" s="61">
        <f t="shared" si="68"/>
        <v>728</v>
      </c>
      <c r="T172" s="62" t="s">
        <v>229</v>
      </c>
      <c r="U172" s="63">
        <f t="shared" si="62"/>
        <v>352.70000000000027</v>
      </c>
      <c r="V172" s="11">
        <f t="shared" si="63"/>
        <v>7759.400000000006</v>
      </c>
      <c r="W172" s="63">
        <f t="shared" si="64"/>
        <v>484.80000000000018</v>
      </c>
      <c r="X172" s="63">
        <f t="shared" si="65"/>
        <v>10665.600000000004</v>
      </c>
      <c r="Y172" s="49"/>
      <c r="Z172" s="13">
        <f t="shared" si="52"/>
        <v>26681.600000000006</v>
      </c>
      <c r="AA172" s="13">
        <v>25014</v>
      </c>
      <c r="AB172" s="13">
        <f t="shared" si="69"/>
        <v>18922.199999999997</v>
      </c>
      <c r="AC172" s="14">
        <f t="shared" si="70"/>
        <v>16016</v>
      </c>
    </row>
    <row r="173" spans="1:29" ht="15.95" customHeight="1" x14ac:dyDescent="0.25">
      <c r="A173" s="47">
        <v>171</v>
      </c>
      <c r="B173" s="48">
        <v>7101006</v>
      </c>
      <c r="C173" s="10" t="s">
        <v>162</v>
      </c>
      <c r="D173" s="49">
        <v>12</v>
      </c>
      <c r="E173" s="50">
        <v>300</v>
      </c>
      <c r="F173" s="51">
        <v>0.35</v>
      </c>
      <c r="G173" s="52">
        <f t="shared" si="71"/>
        <v>105</v>
      </c>
      <c r="H173" s="53">
        <f t="shared" si="66"/>
        <v>195</v>
      </c>
      <c r="I173" s="63">
        <v>536.4</v>
      </c>
      <c r="J173" s="55">
        <v>0.53</v>
      </c>
      <c r="K173" s="56">
        <f t="shared" si="67"/>
        <v>284.29200000000003</v>
      </c>
      <c r="L173" s="57">
        <f t="shared" si="60"/>
        <v>252.10799999999995</v>
      </c>
      <c r="M173" s="58">
        <f t="shared" si="61"/>
        <v>22.652196677614338</v>
      </c>
      <c r="N173" s="49">
        <v>560</v>
      </c>
      <c r="O173" s="59">
        <v>0.36</v>
      </c>
      <c r="P173" s="11">
        <f t="shared" si="72"/>
        <v>201.6</v>
      </c>
      <c r="Q173" s="12">
        <f t="shared" si="73"/>
        <v>358.4</v>
      </c>
      <c r="R173" s="60">
        <v>1</v>
      </c>
      <c r="S173" s="61">
        <f t="shared" si="68"/>
        <v>195</v>
      </c>
      <c r="T173" s="62" t="s">
        <v>229</v>
      </c>
      <c r="U173" s="63">
        <f t="shared" si="62"/>
        <v>106.29200000000003</v>
      </c>
      <c r="V173" s="11">
        <f t="shared" si="63"/>
        <v>1275.5040000000004</v>
      </c>
      <c r="W173" s="63">
        <f t="shared" si="64"/>
        <v>163.39999999999998</v>
      </c>
      <c r="X173" s="63">
        <f t="shared" si="65"/>
        <v>1960.7999999999997</v>
      </c>
      <c r="Y173" s="49"/>
      <c r="Z173" s="13">
        <f t="shared" si="52"/>
        <v>4300.7999999999993</v>
      </c>
      <c r="AA173" s="13">
        <v>4032</v>
      </c>
      <c r="AB173" s="13">
        <f t="shared" si="69"/>
        <v>3025.2959999999994</v>
      </c>
      <c r="AC173" s="14">
        <f t="shared" si="70"/>
        <v>2340</v>
      </c>
    </row>
    <row r="174" spans="1:29" ht="15.95" customHeight="1" x14ac:dyDescent="0.25">
      <c r="A174" s="47">
        <v>172</v>
      </c>
      <c r="B174" s="48">
        <v>6402021</v>
      </c>
      <c r="C174" s="10" t="s">
        <v>163</v>
      </c>
      <c r="D174" s="49">
        <v>6</v>
      </c>
      <c r="E174" s="50">
        <v>800</v>
      </c>
      <c r="F174" s="51">
        <v>0.35</v>
      </c>
      <c r="G174" s="52">
        <f t="shared" ref="G174:G181" si="74">E174*F174</f>
        <v>280</v>
      </c>
      <c r="H174" s="53">
        <f t="shared" si="66"/>
        <v>520</v>
      </c>
      <c r="I174" s="63">
        <v>1589</v>
      </c>
      <c r="J174" s="55">
        <v>0.53</v>
      </c>
      <c r="K174" s="56">
        <f t="shared" si="67"/>
        <v>842.17000000000007</v>
      </c>
      <c r="L174" s="57">
        <f t="shared" si="60"/>
        <v>746.82999999999993</v>
      </c>
      <c r="M174" s="58">
        <f t="shared" si="61"/>
        <v>30.372373900352148</v>
      </c>
      <c r="N174" s="49">
        <v>1295</v>
      </c>
      <c r="O174" s="59">
        <v>0.36</v>
      </c>
      <c r="P174" s="11">
        <f t="shared" si="72"/>
        <v>466.2</v>
      </c>
      <c r="Q174" s="12">
        <f t="shared" si="73"/>
        <v>828.8</v>
      </c>
      <c r="R174" s="60">
        <v>1</v>
      </c>
      <c r="S174" s="61">
        <f t="shared" si="68"/>
        <v>520</v>
      </c>
      <c r="T174" s="62" t="s">
        <v>229</v>
      </c>
      <c r="U174" s="63">
        <f t="shared" si="62"/>
        <v>81.970000000000027</v>
      </c>
      <c r="V174" s="11">
        <f t="shared" si="63"/>
        <v>491.82000000000016</v>
      </c>
      <c r="W174" s="63">
        <f t="shared" si="64"/>
        <v>308.79999999999995</v>
      </c>
      <c r="X174" s="63">
        <f t="shared" si="65"/>
        <v>1852.7999999999997</v>
      </c>
      <c r="Y174" s="49"/>
      <c r="Z174" s="13">
        <f t="shared" si="52"/>
        <v>4972.7999999999993</v>
      </c>
      <c r="AA174" s="13">
        <v>4662</v>
      </c>
      <c r="AB174" s="13">
        <f t="shared" si="69"/>
        <v>4480.9799999999996</v>
      </c>
      <c r="AC174" s="14">
        <f t="shared" si="70"/>
        <v>3120</v>
      </c>
    </row>
    <row r="175" spans="1:29" ht="15.95" customHeight="1" x14ac:dyDescent="0.25">
      <c r="A175" s="47">
        <v>173</v>
      </c>
      <c r="B175" s="48">
        <v>9830006</v>
      </c>
      <c r="C175" s="10" t="s">
        <v>164</v>
      </c>
      <c r="D175" s="49">
        <v>100</v>
      </c>
      <c r="E175" s="50">
        <v>125</v>
      </c>
      <c r="F175" s="51">
        <v>0.35</v>
      </c>
      <c r="G175" s="52">
        <f t="shared" si="74"/>
        <v>43.75</v>
      </c>
      <c r="H175" s="53">
        <f t="shared" si="66"/>
        <v>81.25</v>
      </c>
      <c r="I175" s="49"/>
      <c r="J175" s="55"/>
      <c r="K175" s="56">
        <f t="shared" si="67"/>
        <v>0</v>
      </c>
      <c r="L175" s="57">
        <f t="shared" si="60"/>
        <v>0</v>
      </c>
      <c r="M175" s="64"/>
      <c r="N175" s="49">
        <v>255</v>
      </c>
      <c r="O175" s="59">
        <v>0.36</v>
      </c>
      <c r="P175" s="11">
        <f t="shared" si="72"/>
        <v>91.8</v>
      </c>
      <c r="Q175" s="12">
        <f t="shared" si="73"/>
        <v>163.19999999999999</v>
      </c>
      <c r="R175" s="60">
        <v>1</v>
      </c>
      <c r="S175" s="61">
        <v>81.25</v>
      </c>
      <c r="T175" s="62" t="s">
        <v>229</v>
      </c>
      <c r="U175" s="63">
        <f t="shared" si="62"/>
        <v>163.19999999999999</v>
      </c>
      <c r="V175" s="11">
        <f t="shared" si="63"/>
        <v>16319.999999999998</v>
      </c>
      <c r="W175" s="63">
        <f t="shared" si="64"/>
        <v>81.949999999999989</v>
      </c>
      <c r="X175" s="63">
        <f t="shared" si="65"/>
        <v>8194.9999999999982</v>
      </c>
      <c r="Y175" s="49"/>
      <c r="Z175" s="13">
        <f t="shared" si="52"/>
        <v>16319.999999999998</v>
      </c>
      <c r="AA175" s="13">
        <v>15300</v>
      </c>
      <c r="AB175" s="13">
        <f t="shared" si="69"/>
        <v>0</v>
      </c>
      <c r="AC175" s="14">
        <f t="shared" si="70"/>
        <v>8125</v>
      </c>
    </row>
    <row r="176" spans="1:29" ht="15.95" customHeight="1" x14ac:dyDescent="0.25">
      <c r="A176" s="47">
        <v>174</v>
      </c>
      <c r="B176" s="48">
        <v>7101708</v>
      </c>
      <c r="C176" s="10" t="s">
        <v>165</v>
      </c>
      <c r="D176" s="49">
        <v>5</v>
      </c>
      <c r="E176" s="50">
        <v>300</v>
      </c>
      <c r="F176" s="51">
        <v>0.35</v>
      </c>
      <c r="G176" s="52">
        <f t="shared" si="74"/>
        <v>105</v>
      </c>
      <c r="H176" s="53">
        <f t="shared" si="66"/>
        <v>195</v>
      </c>
      <c r="I176" s="63">
        <v>520.20000000000005</v>
      </c>
      <c r="J176" s="55">
        <v>0.53</v>
      </c>
      <c r="K176" s="56">
        <f t="shared" si="67"/>
        <v>275.70600000000002</v>
      </c>
      <c r="L176" s="57">
        <f t="shared" si="60"/>
        <v>244.49400000000003</v>
      </c>
      <c r="M176" s="58">
        <f t="shared" si="61"/>
        <v>20.243441556848033</v>
      </c>
      <c r="N176" s="49">
        <v>540</v>
      </c>
      <c r="O176" s="59">
        <v>0.36</v>
      </c>
      <c r="P176" s="11">
        <f t="shared" si="72"/>
        <v>194.4</v>
      </c>
      <c r="Q176" s="12">
        <f t="shared" si="73"/>
        <v>345.6</v>
      </c>
      <c r="R176" s="60">
        <v>1</v>
      </c>
      <c r="S176" s="61">
        <f t="shared" si="68"/>
        <v>195</v>
      </c>
      <c r="T176" s="62" t="s">
        <v>229</v>
      </c>
      <c r="U176" s="63">
        <f t="shared" si="62"/>
        <v>101.10599999999999</v>
      </c>
      <c r="V176" s="11">
        <f t="shared" si="63"/>
        <v>505.53</v>
      </c>
      <c r="W176" s="63">
        <f t="shared" si="64"/>
        <v>150.60000000000002</v>
      </c>
      <c r="X176" s="63">
        <f t="shared" si="65"/>
        <v>753.00000000000011</v>
      </c>
      <c r="Y176" s="49"/>
      <c r="Z176" s="13">
        <f t="shared" si="52"/>
        <v>1728</v>
      </c>
      <c r="AA176" s="13">
        <v>1620</v>
      </c>
      <c r="AB176" s="13">
        <f t="shared" si="69"/>
        <v>1222.4700000000003</v>
      </c>
      <c r="AC176" s="14">
        <f t="shared" si="70"/>
        <v>975</v>
      </c>
    </row>
    <row r="177" spans="1:29" ht="15.95" customHeight="1" x14ac:dyDescent="0.25">
      <c r="A177" s="47">
        <v>175</v>
      </c>
      <c r="B177" s="48">
        <v>1501030</v>
      </c>
      <c r="C177" s="10" t="s">
        <v>166</v>
      </c>
      <c r="D177" s="49">
        <v>3</v>
      </c>
      <c r="E177" s="50">
        <v>1120</v>
      </c>
      <c r="F177" s="51">
        <v>0.35</v>
      </c>
      <c r="G177" s="52">
        <f t="shared" si="74"/>
        <v>392</v>
      </c>
      <c r="H177" s="53">
        <f t="shared" si="66"/>
        <v>728</v>
      </c>
      <c r="I177" s="63">
        <v>1302</v>
      </c>
      <c r="J177" s="55">
        <v>0.53</v>
      </c>
      <c r="K177" s="56">
        <f t="shared" si="67"/>
        <v>690.06000000000006</v>
      </c>
      <c r="L177" s="57">
        <f t="shared" si="60"/>
        <v>611.93999999999994</v>
      </c>
      <c r="M177" s="58">
        <f t="shared" si="61"/>
        <v>-18.965911690688639</v>
      </c>
      <c r="N177" s="49">
        <v>1240</v>
      </c>
      <c r="O177" s="59">
        <v>0.36</v>
      </c>
      <c r="P177" s="11">
        <f t="shared" si="72"/>
        <v>446.4</v>
      </c>
      <c r="Q177" s="12">
        <f t="shared" si="73"/>
        <v>793.6</v>
      </c>
      <c r="R177" s="60">
        <v>1</v>
      </c>
      <c r="S177" s="61">
        <f t="shared" si="68"/>
        <v>611.93999999999994</v>
      </c>
      <c r="T177" s="62" t="s">
        <v>222</v>
      </c>
      <c r="U177" s="63">
        <f t="shared" si="62"/>
        <v>181.66000000000008</v>
      </c>
      <c r="V177" s="11">
        <f t="shared" si="63"/>
        <v>544.98000000000025</v>
      </c>
      <c r="W177" s="63">
        <f t="shared" si="64"/>
        <v>65.600000000000023</v>
      </c>
      <c r="X177" s="63">
        <f t="shared" si="65"/>
        <v>196.80000000000007</v>
      </c>
      <c r="Y177" s="49"/>
      <c r="Z177" s="13">
        <f t="shared" si="52"/>
        <v>2380.8000000000002</v>
      </c>
      <c r="AA177" s="13">
        <v>2232</v>
      </c>
      <c r="AB177" s="13">
        <f t="shared" si="69"/>
        <v>1835.8199999999997</v>
      </c>
      <c r="AC177" s="14">
        <f t="shared" si="70"/>
        <v>2184</v>
      </c>
    </row>
    <row r="178" spans="1:29" ht="15.95" customHeight="1" x14ac:dyDescent="0.25">
      <c r="A178" s="47">
        <v>176</v>
      </c>
      <c r="B178" s="48" t="s">
        <v>184</v>
      </c>
      <c r="C178" s="10" t="s">
        <v>167</v>
      </c>
      <c r="D178" s="49">
        <v>6</v>
      </c>
      <c r="E178" s="50">
        <v>78</v>
      </c>
      <c r="F178" s="51">
        <v>0.35</v>
      </c>
      <c r="G178" s="52">
        <f t="shared" si="74"/>
        <v>27.299999999999997</v>
      </c>
      <c r="H178" s="53">
        <f t="shared" si="66"/>
        <v>50.7</v>
      </c>
      <c r="I178" s="63">
        <v>99.5</v>
      </c>
      <c r="J178" s="55">
        <v>0.53</v>
      </c>
      <c r="K178" s="56">
        <f t="shared" si="67"/>
        <v>52.734999999999999</v>
      </c>
      <c r="L178" s="57">
        <f t="shared" si="60"/>
        <v>46.765000000000001</v>
      </c>
      <c r="M178" s="58">
        <f t="shared" si="61"/>
        <v>-8.414412487971779</v>
      </c>
      <c r="N178" s="49">
        <v>100</v>
      </c>
      <c r="O178" s="59">
        <v>0.36</v>
      </c>
      <c r="P178" s="11">
        <f t="shared" si="72"/>
        <v>36</v>
      </c>
      <c r="Q178" s="12">
        <f t="shared" si="73"/>
        <v>64</v>
      </c>
      <c r="R178" s="60">
        <v>1</v>
      </c>
      <c r="S178" s="61">
        <f t="shared" si="68"/>
        <v>46.765000000000001</v>
      </c>
      <c r="T178" s="62" t="s">
        <v>222</v>
      </c>
      <c r="U178" s="63">
        <f t="shared" si="62"/>
        <v>17.234999999999999</v>
      </c>
      <c r="V178" s="11">
        <f t="shared" si="63"/>
        <v>103.41</v>
      </c>
      <c r="W178" s="63">
        <f t="shared" si="64"/>
        <v>13.299999999999997</v>
      </c>
      <c r="X178" s="63">
        <f t="shared" si="65"/>
        <v>79.799999999999983</v>
      </c>
      <c r="Y178" s="49"/>
      <c r="Z178" s="13">
        <f t="shared" si="52"/>
        <v>384</v>
      </c>
      <c r="AA178" s="13">
        <v>360</v>
      </c>
      <c r="AB178" s="13">
        <f t="shared" si="69"/>
        <v>280.59000000000003</v>
      </c>
      <c r="AC178" s="14">
        <f t="shared" si="70"/>
        <v>304.20000000000005</v>
      </c>
    </row>
    <row r="179" spans="1:29" ht="15.95" customHeight="1" x14ac:dyDescent="0.25">
      <c r="A179" s="47">
        <v>177</v>
      </c>
      <c r="B179" s="48">
        <v>3021016</v>
      </c>
      <c r="C179" s="10" t="s">
        <v>168</v>
      </c>
      <c r="D179" s="49">
        <v>12</v>
      </c>
      <c r="E179" s="50">
        <v>600</v>
      </c>
      <c r="F179" s="51">
        <v>0.35</v>
      </c>
      <c r="G179" s="52">
        <f t="shared" si="74"/>
        <v>210</v>
      </c>
      <c r="H179" s="53">
        <f t="shared" si="66"/>
        <v>390</v>
      </c>
      <c r="I179" s="63">
        <v>1090.5</v>
      </c>
      <c r="J179" s="55">
        <v>0.53</v>
      </c>
      <c r="K179" s="56">
        <f t="shared" si="67"/>
        <v>577.96500000000003</v>
      </c>
      <c r="L179" s="57">
        <f t="shared" si="60"/>
        <v>512.53499999999997</v>
      </c>
      <c r="M179" s="58">
        <f t="shared" si="61"/>
        <v>23.907635576106991</v>
      </c>
      <c r="N179" s="49">
        <v>1005</v>
      </c>
      <c r="O179" s="59">
        <v>0.36</v>
      </c>
      <c r="P179" s="11">
        <f t="shared" si="72"/>
        <v>361.8</v>
      </c>
      <c r="Q179" s="12">
        <f t="shared" si="73"/>
        <v>643.20000000000005</v>
      </c>
      <c r="R179" s="60">
        <v>1</v>
      </c>
      <c r="S179" s="61">
        <f t="shared" si="68"/>
        <v>390</v>
      </c>
      <c r="T179" s="62" t="s">
        <v>229</v>
      </c>
      <c r="U179" s="63">
        <f t="shared" si="62"/>
        <v>130.66500000000008</v>
      </c>
      <c r="V179" s="11">
        <f t="shared" si="63"/>
        <v>1567.9800000000009</v>
      </c>
      <c r="W179" s="63">
        <f t="shared" si="64"/>
        <v>253.20000000000005</v>
      </c>
      <c r="X179" s="63">
        <f t="shared" si="65"/>
        <v>3038.4000000000005</v>
      </c>
      <c r="Y179" s="49"/>
      <c r="Z179" s="13">
        <f t="shared" si="52"/>
        <v>7718.4000000000005</v>
      </c>
      <c r="AA179" s="13">
        <v>7236</v>
      </c>
      <c r="AB179" s="13">
        <f t="shared" si="69"/>
        <v>6150.42</v>
      </c>
      <c r="AC179" s="14">
        <f t="shared" si="70"/>
        <v>4680</v>
      </c>
    </row>
    <row r="180" spans="1:29" ht="15.95" customHeight="1" x14ac:dyDescent="0.25">
      <c r="A180" s="47">
        <v>178</v>
      </c>
      <c r="B180" s="48">
        <v>7101707</v>
      </c>
      <c r="C180" s="10" t="s">
        <v>169</v>
      </c>
      <c r="D180" s="49">
        <v>6</v>
      </c>
      <c r="E180" s="50">
        <v>300</v>
      </c>
      <c r="F180" s="51">
        <v>0.35</v>
      </c>
      <c r="G180" s="52">
        <f t="shared" si="74"/>
        <v>105</v>
      </c>
      <c r="H180" s="53">
        <f t="shared" si="66"/>
        <v>195</v>
      </c>
      <c r="I180" s="63">
        <v>520.20000000000005</v>
      </c>
      <c r="J180" s="55">
        <v>0.53</v>
      </c>
      <c r="K180" s="56">
        <f t="shared" si="67"/>
        <v>275.70600000000002</v>
      </c>
      <c r="L180" s="57">
        <f t="shared" si="60"/>
        <v>244.49400000000003</v>
      </c>
      <c r="M180" s="58">
        <f t="shared" si="61"/>
        <v>20.243441556848033</v>
      </c>
      <c r="N180" s="49">
        <v>540</v>
      </c>
      <c r="O180" s="59">
        <v>0.36</v>
      </c>
      <c r="P180" s="11">
        <f t="shared" si="72"/>
        <v>194.4</v>
      </c>
      <c r="Q180" s="12">
        <f t="shared" si="73"/>
        <v>345.6</v>
      </c>
      <c r="R180" s="60">
        <v>1</v>
      </c>
      <c r="S180" s="61">
        <f t="shared" si="68"/>
        <v>195</v>
      </c>
      <c r="T180" s="62" t="s">
        <v>229</v>
      </c>
      <c r="U180" s="63">
        <f t="shared" si="62"/>
        <v>101.10599999999999</v>
      </c>
      <c r="V180" s="11">
        <f t="shared" si="63"/>
        <v>606.63599999999997</v>
      </c>
      <c r="W180" s="63">
        <f t="shared" si="64"/>
        <v>150.60000000000002</v>
      </c>
      <c r="X180" s="63">
        <f t="shared" si="65"/>
        <v>903.60000000000014</v>
      </c>
      <c r="Y180" s="49"/>
      <c r="Z180" s="13">
        <f t="shared" si="52"/>
        <v>2073.6000000000004</v>
      </c>
      <c r="AA180" s="13">
        <v>1944</v>
      </c>
      <c r="AB180" s="13">
        <f t="shared" si="69"/>
        <v>1466.9640000000002</v>
      </c>
      <c r="AC180" s="14">
        <f t="shared" si="70"/>
        <v>1170</v>
      </c>
    </row>
    <row r="181" spans="1:29" ht="15.95" customHeight="1" x14ac:dyDescent="0.25">
      <c r="A181" s="84">
        <v>179</v>
      </c>
      <c r="B181" s="65">
        <v>7101708</v>
      </c>
      <c r="C181" s="15" t="s">
        <v>170</v>
      </c>
      <c r="D181" s="66">
        <v>6</v>
      </c>
      <c r="E181" s="67">
        <v>300</v>
      </c>
      <c r="F181" s="68">
        <v>0.35</v>
      </c>
      <c r="G181" s="69">
        <f t="shared" si="74"/>
        <v>105</v>
      </c>
      <c r="H181" s="70">
        <f t="shared" si="66"/>
        <v>195</v>
      </c>
      <c r="I181" s="71">
        <v>520.20000000000005</v>
      </c>
      <c r="J181" s="72">
        <v>0.53</v>
      </c>
      <c r="K181" s="73">
        <f t="shared" si="67"/>
        <v>275.70600000000002</v>
      </c>
      <c r="L181" s="74">
        <f t="shared" si="60"/>
        <v>244.49400000000003</v>
      </c>
      <c r="M181" s="75">
        <f t="shared" si="61"/>
        <v>20.243441556848033</v>
      </c>
      <c r="N181" s="66">
        <v>540</v>
      </c>
      <c r="O181" s="76">
        <v>0.36</v>
      </c>
      <c r="P181" s="16">
        <f t="shared" si="72"/>
        <v>194.4</v>
      </c>
      <c r="Q181" s="17">
        <f t="shared" si="73"/>
        <v>345.6</v>
      </c>
      <c r="R181" s="77">
        <v>1</v>
      </c>
      <c r="S181" s="78">
        <f t="shared" si="68"/>
        <v>195</v>
      </c>
      <c r="T181" s="79" t="s">
        <v>229</v>
      </c>
      <c r="U181" s="71">
        <f t="shared" si="62"/>
        <v>101.10599999999999</v>
      </c>
      <c r="V181" s="16">
        <f t="shared" si="63"/>
        <v>606.63599999999997</v>
      </c>
      <c r="W181" s="71">
        <f t="shared" si="64"/>
        <v>150.60000000000002</v>
      </c>
      <c r="X181" s="71">
        <f t="shared" si="65"/>
        <v>903.60000000000014</v>
      </c>
      <c r="Y181" s="66"/>
      <c r="Z181" s="18">
        <f>Q181*D181</f>
        <v>2073.6000000000004</v>
      </c>
      <c r="AA181" s="18">
        <v>1944</v>
      </c>
      <c r="AB181" s="18">
        <f t="shared" si="69"/>
        <v>1466.9640000000002</v>
      </c>
      <c r="AC181" s="19">
        <f t="shared" si="70"/>
        <v>1170</v>
      </c>
    </row>
    <row r="182" spans="1:29" ht="15.75" thickBot="1" x14ac:dyDescent="0.3">
      <c r="V182" s="6">
        <f>SUM(V3:V181)</f>
        <v>4146369.4368000026</v>
      </c>
      <c r="W182" s="6"/>
      <c r="X182" s="6">
        <f>SUM(X3:X181)</f>
        <v>5632043.549999998</v>
      </c>
      <c r="Y182" s="6"/>
      <c r="Z182" s="6">
        <f>SUM(Z3:Z181)</f>
        <v>13235648.000000006</v>
      </c>
      <c r="AA182" s="6">
        <f>SUM(AA3:AA181)</f>
        <v>12408420</v>
      </c>
      <c r="AB182" s="6">
        <f>SUM(AB3:AB181)</f>
        <v>9089278.5632000063</v>
      </c>
      <c r="AC182" s="6">
        <f>SUM(AC3:AC181)</f>
        <v>7603604.4500000002</v>
      </c>
    </row>
    <row r="183" spans="1:29" ht="15.75" thickTop="1" x14ac:dyDescent="0.25"/>
    <row r="184" spans="1:29" x14ac:dyDescent="0.25">
      <c r="Z184" s="98"/>
    </row>
    <row r="185" spans="1:29" x14ac:dyDescent="0.25">
      <c r="G185" s="82"/>
    </row>
    <row r="187" spans="1:29" x14ac:dyDescent="0.25">
      <c r="K187" s="83"/>
    </row>
    <row r="188" spans="1:29" x14ac:dyDescent="0.25">
      <c r="G188" s="82"/>
    </row>
  </sheetData>
  <autoFilter ref="A2:AC182"/>
  <mergeCells count="5">
    <mergeCell ref="E1:H1"/>
    <mergeCell ref="I1:L1"/>
    <mergeCell ref="N1:Q1"/>
    <mergeCell ref="S1:T1"/>
    <mergeCell ref="AA1:A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Summery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RAJU AGRAWAL</cp:lastModifiedBy>
  <dcterms:created xsi:type="dcterms:W3CDTF">2022-09-13T17:26:24Z</dcterms:created>
  <dcterms:modified xsi:type="dcterms:W3CDTF">2024-04-08T12:01:47Z</dcterms:modified>
</cp:coreProperties>
</file>