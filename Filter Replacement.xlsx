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83FAE943-F66C-44FB-A015-BB3B71B3D6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3" r:id="rId1"/>
    <sheet name="Filter Data" sheetId="1" r:id="rId2"/>
  </sheets>
  <definedNames>
    <definedName name="_xlnm._FilterDatabase" localSheetId="0" hidden="1">Summary!$B$4:$U$18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3" l="1"/>
  <c r="Q13" i="3"/>
  <c r="Q14" i="3"/>
  <c r="Q15" i="3"/>
  <c r="Q16" i="3"/>
  <c r="Q17" i="3"/>
  <c r="Q18" i="3"/>
  <c r="Q6" i="3"/>
  <c r="Q7" i="3"/>
  <c r="Q8" i="3"/>
  <c r="Q9" i="3"/>
  <c r="Q10" i="3"/>
  <c r="Q11" i="3"/>
  <c r="O14" i="3" l="1"/>
  <c r="O12" i="3"/>
  <c r="O5" i="3"/>
  <c r="Q5" i="3" l="1"/>
  <c r="O15" i="3"/>
  <c r="O13" i="3"/>
  <c r="O11" i="3"/>
  <c r="O10" i="3"/>
  <c r="O9" i="3"/>
  <c r="O8" i="3"/>
  <c r="O7" i="3"/>
  <c r="O6" i="3"/>
  <c r="H21" i="1"/>
  <c r="H20" i="1"/>
  <c r="H15" i="1"/>
  <c r="H11" i="1"/>
  <c r="Q3" i="3" l="1"/>
  <c r="Q19" i="1"/>
  <c r="Q18" i="1"/>
  <c r="Q15" i="1"/>
</calcChain>
</file>

<file path=xl/sharedStrings.xml><?xml version="1.0" encoding="utf-8"?>
<sst xmlns="http://schemas.openxmlformats.org/spreadsheetml/2006/main" count="278" uniqueCount="92">
  <si>
    <t>Sr. No.</t>
  </si>
  <si>
    <t>Subject:</t>
  </si>
  <si>
    <t xml:space="preserve">Filters replacement frequency </t>
  </si>
  <si>
    <t>Filter replacement details</t>
  </si>
  <si>
    <t>Compressed air line filters  0.2 micron rating  (5 inches &amp; 10 inches)</t>
  </si>
  <si>
    <t xml:space="preserve">Once in year </t>
  </si>
  <si>
    <t>Vaccum cleaner filter details -HEPA filter H=122 (SO2881)</t>
  </si>
  <si>
    <t>Once in year &amp; As and when require</t>
  </si>
  <si>
    <t>Dust collector filter (300,600,900,1200 CFM)</t>
  </si>
  <si>
    <t xml:space="preserve">Once in 5 Year </t>
  </si>
  <si>
    <t>4 year or as and when required.</t>
  </si>
  <si>
    <t>HVAC of Process area -HVAC Filter replacement (3 Micron and 10 Micron)</t>
  </si>
  <si>
    <t>5 year or as and when required.</t>
  </si>
  <si>
    <t>HVAC of Non Process area - HVAC Filter replacement (3 Micron,10 Micron and 20 Micron)</t>
  </si>
  <si>
    <t>3 year or as and when required.</t>
  </si>
  <si>
    <t>HVAC of Process area-HVAC Return Filter replacement (20 Micron)</t>
  </si>
  <si>
    <t>HVAC of Process area -HEPA filter/Super HEPA/F-9 HEPA filter replacement (0.3 Micron)</t>
  </si>
  <si>
    <t>Filter type</t>
  </si>
  <si>
    <t>HEPA filter</t>
  </si>
  <si>
    <t>Super HEPA</t>
  </si>
  <si>
    <t>F-9</t>
  </si>
  <si>
    <t>HVAC of Non Process area - HEPA filter replacement (0.3 Micron)</t>
  </si>
  <si>
    <t>10 Micron</t>
  </si>
  <si>
    <t>3 Micron</t>
  </si>
  <si>
    <t>20 Micron</t>
  </si>
  <si>
    <t xml:space="preserve"> 0.2 micron</t>
  </si>
  <si>
    <t xml:space="preserve">H=122 </t>
  </si>
  <si>
    <t>Dust collector filter</t>
  </si>
  <si>
    <t>Nitrogen generator filetr housing replacement</t>
  </si>
  <si>
    <t>NA</t>
  </si>
  <si>
    <t>2 year or as and when required.</t>
  </si>
  <si>
    <t>Purified water tank vent filter replacement</t>
  </si>
  <si>
    <t>0.2 Micron</t>
  </si>
  <si>
    <t>10 Months</t>
  </si>
  <si>
    <t>Frequency</t>
  </si>
  <si>
    <t>Site Name</t>
  </si>
  <si>
    <t>HEPA filter 250mm dia x 90mm long for Dust collector filter; 0.492 m2 area; 180CFM Dust Collector Make:- Kambert, Type:- KDM-180.</t>
  </si>
  <si>
    <t xml:space="preserve">Bag filter for dust collector filter material :- Food grade micron filter;  180CFM Filteration Dust Collector Make:- Kambert, Type:- KDM-180.  </t>
  </si>
  <si>
    <t>0.3 Micron HEPA</t>
  </si>
  <si>
    <t xml:space="preserve">0.3 Micron Bag filter </t>
  </si>
  <si>
    <t>Once in 5 Year and when required.</t>
  </si>
  <si>
    <t xml:space="preserve">0.2 Micron, 5 Inch Long </t>
  </si>
  <si>
    <t>Once in  Year and as an when required.</t>
  </si>
  <si>
    <t>10 Month or as and when required.</t>
  </si>
  <si>
    <t>12 (Once in Five year)</t>
  </si>
  <si>
    <t>Once in 5 Year and As and when require</t>
  </si>
  <si>
    <t>310 (Once in Six year)</t>
  </si>
  <si>
    <t>6 year or as and when required.</t>
  </si>
  <si>
    <t>2 (Once in Six year)</t>
  </si>
  <si>
    <t>170 (Once in Six year)</t>
  </si>
  <si>
    <t>220 (Once in Five year)</t>
  </si>
  <si>
    <t xml:space="preserve"> 220 (Once in Five year)</t>
  </si>
  <si>
    <t>255 (Once in Five year)</t>
  </si>
  <si>
    <t>250 (Once in Five year)</t>
  </si>
  <si>
    <t>170 (Once in Five year)</t>
  </si>
  <si>
    <t>12 Months (-30 Days)</t>
  </si>
  <si>
    <t>6 Months</t>
  </si>
  <si>
    <t xml:space="preserve">Filter Details </t>
  </si>
  <si>
    <t>5 Micron</t>
  </si>
  <si>
    <t>4 year or as and when required</t>
  </si>
  <si>
    <t>Date : Mar 06, 2024</t>
  </si>
  <si>
    <t xml:space="preserve"> Qty. Require</t>
  </si>
  <si>
    <t>Geal Seal</t>
  </si>
  <si>
    <t>Paithan</t>
  </si>
  <si>
    <t>Guwahati</t>
  </si>
  <si>
    <t>Chitegaon</t>
  </si>
  <si>
    <t>Pitampur</t>
  </si>
  <si>
    <t>Dahej</t>
  </si>
  <si>
    <t>S.No.</t>
  </si>
  <si>
    <t>Spare Part Description</t>
  </si>
  <si>
    <t>Pithampur</t>
  </si>
  <si>
    <t>Compressed air line filters  0.2 micron rating  
(5 inches &amp; 10 inches)</t>
  </si>
  <si>
    <t xml:space="preserve">QTY </t>
  </si>
  <si>
    <t xml:space="preserve">Qty </t>
  </si>
  <si>
    <t>HVAC - Process Cleaning Area - HEPA filter</t>
  </si>
  <si>
    <t>HVAC - Process Cleaning Area - Geal Seal</t>
  </si>
  <si>
    <t>HVAC - Process Cleaning Area -Super HEPA</t>
  </si>
  <si>
    <t>HVAC - Process Cleaning Area -F-9</t>
  </si>
  <si>
    <t>Nitrogen generator filter housing replacement</t>
  </si>
  <si>
    <t>10 months</t>
  </si>
  <si>
    <t>6 months</t>
  </si>
  <si>
    <t>12 months</t>
  </si>
  <si>
    <t>To be Frequency</t>
  </si>
  <si>
    <t>2 years</t>
  </si>
  <si>
    <t>6 years</t>
  </si>
  <si>
    <t>5 years</t>
  </si>
  <si>
    <t>No Change</t>
  </si>
  <si>
    <t>No. of Filters to be saved each year</t>
  </si>
  <si>
    <t>Yes</t>
  </si>
  <si>
    <t>To be implemented</t>
  </si>
  <si>
    <t>No</t>
  </si>
  <si>
    <t>Cost benefit considering INR 7000 as average cost of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</si>
</sst>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1"/>
      <color rgb="FF000000"/>
      <name val="Calibri"/>
      <family val="2"/>
    </font>
    <font>
      <sz val="9"/>
      <color rgb="FF000000"/>
      <name val="Trebuchet MS"/>
      <family val="2"/>
    </font>
    <font>
      <b/>
      <sz val="12"/>
      <color theme="1"/>
      <name val="Garamond"/>
      <family val="1"/>
    </font>
    <font>
      <sz val="11"/>
      <color theme="1"/>
      <name val="Garamond"/>
      <family val="1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8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wrapText="1"/>
    </xf>
    <xf numFmtId="164" fontId="0" fillId="0" borderId="1" xfId="1" applyNumberFormat="1" applyFont="1" applyBorder="1" applyAlignment="1"/>
    <xf numFmtId="164" fontId="10" fillId="0" borderId="0" xfId="0" applyNumberFormat="1" applyFont="1"/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61B7-2330-4D20-B1AC-2D9BF7924E10}">
  <dimension ref="B3:U19"/>
  <sheetViews>
    <sheetView showGridLines="0" tabSelected="1" topLeftCell="I2" workbookViewId="0">
      <selection activeCell="R17" sqref="R17"/>
    </sheetView>
  </sheetViews>
  <sheetFormatPr defaultRowHeight="14.5" x14ac:dyDescent="0.35"/>
  <cols>
    <col min="1" max="1" width="3.54296875" customWidth="1"/>
    <col min="3" max="3" width="39.90625" customWidth="1"/>
    <col min="4" max="13" width="11.1796875" customWidth="1"/>
    <col min="14" max="14" width="19.1796875" customWidth="1"/>
    <col min="15" max="16" width="17" customWidth="1"/>
    <col min="17" max="17" width="23.54296875" customWidth="1"/>
  </cols>
  <sheetData>
    <row r="3" spans="2:21" x14ac:dyDescent="0.35">
      <c r="D3" s="37" t="s">
        <v>63</v>
      </c>
      <c r="E3" s="37"/>
      <c r="F3" s="38" t="s">
        <v>64</v>
      </c>
      <c r="G3" s="38"/>
      <c r="H3" s="37" t="s">
        <v>65</v>
      </c>
      <c r="I3" s="37"/>
      <c r="J3" s="38" t="s">
        <v>70</v>
      </c>
      <c r="K3" s="38"/>
      <c r="L3" s="37" t="s">
        <v>67</v>
      </c>
      <c r="M3" s="37"/>
      <c r="Q3" s="36">
        <f>SUM(Q5:Q14)</f>
        <v>9227866.666666666</v>
      </c>
    </row>
    <row r="4" spans="2:21" ht="43.5" x14ac:dyDescent="0.35">
      <c r="B4" s="25" t="s">
        <v>68</v>
      </c>
      <c r="C4" s="25" t="s">
        <v>69</v>
      </c>
      <c r="D4" s="25" t="s">
        <v>72</v>
      </c>
      <c r="E4" s="25" t="s">
        <v>34</v>
      </c>
      <c r="F4" s="25" t="s">
        <v>73</v>
      </c>
      <c r="G4" s="25" t="s">
        <v>34</v>
      </c>
      <c r="H4" s="25" t="s">
        <v>73</v>
      </c>
      <c r="I4" s="25" t="s">
        <v>34</v>
      </c>
      <c r="J4" s="25" t="s">
        <v>73</v>
      </c>
      <c r="K4" s="25" t="s">
        <v>34</v>
      </c>
      <c r="L4" s="25" t="s">
        <v>73</v>
      </c>
      <c r="M4" s="25" t="s">
        <v>34</v>
      </c>
      <c r="N4" s="33" t="s">
        <v>82</v>
      </c>
      <c r="O4" s="31" t="s">
        <v>87</v>
      </c>
      <c r="P4" s="31" t="s">
        <v>89</v>
      </c>
      <c r="Q4" s="34" t="s">
        <v>91</v>
      </c>
    </row>
    <row r="5" spans="2:21" ht="28.75" customHeight="1" x14ac:dyDescent="0.35">
      <c r="B5" s="24">
        <v>1</v>
      </c>
      <c r="C5" s="27" t="s">
        <v>71</v>
      </c>
      <c r="D5" s="27">
        <v>100</v>
      </c>
      <c r="E5" s="28">
        <v>1</v>
      </c>
      <c r="F5" s="24">
        <v>150</v>
      </c>
      <c r="G5" s="28">
        <v>1</v>
      </c>
      <c r="H5" s="24">
        <v>13</v>
      </c>
      <c r="I5" s="28">
        <v>1</v>
      </c>
      <c r="J5" s="24">
        <v>29</v>
      </c>
      <c r="K5" s="28">
        <v>1</v>
      </c>
      <c r="L5" s="24">
        <v>170</v>
      </c>
      <c r="M5" s="28">
        <v>1</v>
      </c>
      <c r="N5" s="24" t="s">
        <v>83</v>
      </c>
      <c r="O5" s="29">
        <f>(D5+F5+H5+J5+L5)/2</f>
        <v>231</v>
      </c>
      <c r="P5" s="30" t="s">
        <v>88</v>
      </c>
      <c r="Q5" s="35">
        <f>O5*7000</f>
        <v>1617000</v>
      </c>
    </row>
    <row r="6" spans="2:21" ht="28.75" customHeight="1" x14ac:dyDescent="0.35">
      <c r="B6" s="24">
        <v>2</v>
      </c>
      <c r="C6" s="27" t="s">
        <v>6</v>
      </c>
      <c r="D6" s="27">
        <v>75</v>
      </c>
      <c r="E6" s="28">
        <v>1</v>
      </c>
      <c r="F6" s="24">
        <v>60</v>
      </c>
      <c r="G6" s="28">
        <v>1</v>
      </c>
      <c r="H6" s="24"/>
      <c r="I6" s="28"/>
      <c r="J6" s="24">
        <v>19</v>
      </c>
      <c r="K6" s="28">
        <v>1</v>
      </c>
      <c r="L6" s="24">
        <v>67</v>
      </c>
      <c r="M6" s="28">
        <v>1</v>
      </c>
      <c r="N6" s="24" t="s">
        <v>83</v>
      </c>
      <c r="O6" s="29">
        <f>(D6+F6+H6+J6+L6)/2</f>
        <v>110.5</v>
      </c>
      <c r="P6" s="32" t="s">
        <v>90</v>
      </c>
      <c r="Q6" s="35">
        <f t="shared" ref="Q6:Q18" si="0">O6*7000</f>
        <v>773500</v>
      </c>
    </row>
    <row r="7" spans="2:21" ht="28.75" customHeight="1" x14ac:dyDescent="0.35">
      <c r="B7" s="24">
        <v>3</v>
      </c>
      <c r="C7" s="27" t="s">
        <v>8</v>
      </c>
      <c r="D7" s="27">
        <v>40</v>
      </c>
      <c r="E7" s="28">
        <v>5</v>
      </c>
      <c r="F7" s="24">
        <v>20</v>
      </c>
      <c r="G7" s="28">
        <v>5</v>
      </c>
      <c r="H7" s="24">
        <v>3</v>
      </c>
      <c r="I7" s="28">
        <v>5</v>
      </c>
      <c r="J7" s="24">
        <v>12</v>
      </c>
      <c r="K7" s="28">
        <v>5</v>
      </c>
      <c r="L7" s="24">
        <v>60</v>
      </c>
      <c r="M7" s="28">
        <v>5</v>
      </c>
      <c r="N7" s="24" t="s">
        <v>84</v>
      </c>
      <c r="O7" s="29">
        <f>((D7+F7+H7+J7+L7)/6)</f>
        <v>22.5</v>
      </c>
      <c r="P7" s="32" t="s">
        <v>90</v>
      </c>
      <c r="Q7" s="35">
        <f t="shared" si="0"/>
        <v>157500</v>
      </c>
    </row>
    <row r="8" spans="2:21" ht="28.75" customHeight="1" x14ac:dyDescent="0.35">
      <c r="B8" s="24">
        <v>4</v>
      </c>
      <c r="C8" s="27" t="s">
        <v>74</v>
      </c>
      <c r="D8" s="27">
        <v>90</v>
      </c>
      <c r="E8" s="28">
        <v>4</v>
      </c>
      <c r="F8" s="24">
        <v>602</v>
      </c>
      <c r="G8" s="28">
        <v>4</v>
      </c>
      <c r="H8" s="24">
        <v>26</v>
      </c>
      <c r="I8" s="28">
        <v>6</v>
      </c>
      <c r="J8" s="24">
        <v>310</v>
      </c>
      <c r="K8" s="28">
        <v>6</v>
      </c>
      <c r="L8" s="24">
        <v>384</v>
      </c>
      <c r="M8" s="28">
        <v>4</v>
      </c>
      <c r="N8" s="24" t="s">
        <v>85</v>
      </c>
      <c r="O8" s="29">
        <f>(D8+F8+L8)/5</f>
        <v>215.2</v>
      </c>
      <c r="P8" s="32" t="s">
        <v>90</v>
      </c>
      <c r="Q8" s="35">
        <f t="shared" si="0"/>
        <v>1506400</v>
      </c>
      <c r="T8" s="26"/>
      <c r="U8" s="26"/>
    </row>
    <row r="9" spans="2:21" ht="28.75" customHeight="1" x14ac:dyDescent="0.35">
      <c r="B9" s="24">
        <v>5</v>
      </c>
      <c r="C9" s="27" t="s">
        <v>75</v>
      </c>
      <c r="D9" s="27"/>
      <c r="E9" s="28"/>
      <c r="F9" s="24">
        <v>308</v>
      </c>
      <c r="G9" s="28">
        <v>4</v>
      </c>
      <c r="H9" s="24"/>
      <c r="I9" s="28"/>
      <c r="J9" s="24"/>
      <c r="K9" s="28"/>
      <c r="L9" s="24"/>
      <c r="M9" s="28"/>
      <c r="N9" s="24" t="s">
        <v>85</v>
      </c>
      <c r="O9" s="29">
        <f>F9/5</f>
        <v>61.6</v>
      </c>
      <c r="P9" s="32" t="s">
        <v>90</v>
      </c>
      <c r="Q9" s="35">
        <f t="shared" si="0"/>
        <v>431200</v>
      </c>
    </row>
    <row r="10" spans="2:21" ht="28.75" customHeight="1" x14ac:dyDescent="0.35">
      <c r="B10" s="24">
        <v>6</v>
      </c>
      <c r="C10" s="27" t="s">
        <v>76</v>
      </c>
      <c r="D10" s="27">
        <v>35</v>
      </c>
      <c r="E10" s="28">
        <v>4</v>
      </c>
      <c r="F10" s="24">
        <v>100</v>
      </c>
      <c r="G10" s="28">
        <v>4</v>
      </c>
      <c r="H10" s="24">
        <v>10</v>
      </c>
      <c r="I10" s="28">
        <v>6</v>
      </c>
      <c r="J10" s="24"/>
      <c r="K10" s="28"/>
      <c r="L10" s="24"/>
      <c r="M10" s="28"/>
      <c r="N10" s="24" t="s">
        <v>85</v>
      </c>
      <c r="O10" s="24">
        <f>D10+F10/5</f>
        <v>55</v>
      </c>
      <c r="P10" s="32" t="s">
        <v>90</v>
      </c>
      <c r="Q10" s="35">
        <f t="shared" si="0"/>
        <v>385000</v>
      </c>
    </row>
    <row r="11" spans="2:21" ht="28.75" customHeight="1" x14ac:dyDescent="0.35">
      <c r="B11" s="24">
        <v>7</v>
      </c>
      <c r="C11" s="27" t="s">
        <v>77</v>
      </c>
      <c r="D11" s="27">
        <v>8</v>
      </c>
      <c r="E11" s="28">
        <v>4</v>
      </c>
      <c r="F11" s="24">
        <v>10</v>
      </c>
      <c r="G11" s="28">
        <v>4</v>
      </c>
      <c r="H11" s="24"/>
      <c r="I11" s="28"/>
      <c r="J11" s="24"/>
      <c r="K11" s="28"/>
      <c r="L11" s="24"/>
      <c r="M11" s="28"/>
      <c r="N11" s="24" t="s">
        <v>85</v>
      </c>
      <c r="O11" s="29">
        <f>(D11+F11)/5</f>
        <v>3.6</v>
      </c>
      <c r="P11" s="32" t="s">
        <v>90</v>
      </c>
      <c r="Q11" s="35">
        <f t="shared" si="0"/>
        <v>25200</v>
      </c>
    </row>
    <row r="12" spans="2:21" ht="28.75" customHeight="1" x14ac:dyDescent="0.35">
      <c r="B12" s="24">
        <v>8</v>
      </c>
      <c r="C12" s="27" t="s">
        <v>21</v>
      </c>
      <c r="D12" s="27">
        <v>60</v>
      </c>
      <c r="E12" s="28">
        <v>5</v>
      </c>
      <c r="F12" s="24">
        <v>172</v>
      </c>
      <c r="G12" s="28">
        <v>5</v>
      </c>
      <c r="H12" s="24">
        <v>14</v>
      </c>
      <c r="I12" s="28">
        <v>5</v>
      </c>
      <c r="J12" s="24">
        <v>170</v>
      </c>
      <c r="K12" s="28">
        <v>6</v>
      </c>
      <c r="L12" s="24">
        <v>618</v>
      </c>
      <c r="M12" s="28">
        <v>5</v>
      </c>
      <c r="N12" s="24" t="s">
        <v>84</v>
      </c>
      <c r="O12" s="24">
        <f>-(D12+F12+H12+L12)/6+(D12+F12+H12+L12)/5</f>
        <v>28.800000000000011</v>
      </c>
      <c r="P12" s="30" t="s">
        <v>88</v>
      </c>
      <c r="Q12" s="35">
        <f>O12*7000</f>
        <v>201600.00000000009</v>
      </c>
    </row>
    <row r="13" spans="2:21" ht="28.75" customHeight="1" x14ac:dyDescent="0.35">
      <c r="B13" s="24">
        <v>9</v>
      </c>
      <c r="C13" s="27" t="s">
        <v>11</v>
      </c>
      <c r="D13" s="27">
        <v>200</v>
      </c>
      <c r="E13" s="28">
        <v>5</v>
      </c>
      <c r="F13" s="24">
        <v>1708</v>
      </c>
      <c r="G13" s="28">
        <v>5</v>
      </c>
      <c r="H13" s="24">
        <v>55</v>
      </c>
      <c r="I13" s="28">
        <v>5</v>
      </c>
      <c r="J13" s="24">
        <v>440</v>
      </c>
      <c r="K13" s="28">
        <v>5</v>
      </c>
      <c r="L13" s="24">
        <v>458</v>
      </c>
      <c r="M13" s="28">
        <v>5</v>
      </c>
      <c r="N13" s="24" t="s">
        <v>84</v>
      </c>
      <c r="O13" s="29">
        <f>(D13+F13+H13+J13+L13)/6</f>
        <v>476.83333333333331</v>
      </c>
      <c r="P13" s="32" t="s">
        <v>90</v>
      </c>
      <c r="Q13" s="35">
        <f t="shared" si="0"/>
        <v>3337833.333333333</v>
      </c>
    </row>
    <row r="14" spans="2:21" ht="28.75" customHeight="1" x14ac:dyDescent="0.35">
      <c r="B14" s="24">
        <v>10</v>
      </c>
      <c r="C14" s="27" t="s">
        <v>13</v>
      </c>
      <c r="D14" s="27">
        <v>225</v>
      </c>
      <c r="E14" s="28">
        <v>5</v>
      </c>
      <c r="F14" s="24">
        <v>1832</v>
      </c>
      <c r="G14" s="28">
        <v>5</v>
      </c>
      <c r="H14" s="24">
        <v>70</v>
      </c>
      <c r="I14" s="28">
        <v>5</v>
      </c>
      <c r="J14" s="24">
        <v>675</v>
      </c>
      <c r="K14" s="28">
        <v>5</v>
      </c>
      <c r="L14" s="24">
        <v>595</v>
      </c>
      <c r="M14" s="28">
        <v>5</v>
      </c>
      <c r="N14" s="24" t="s">
        <v>84</v>
      </c>
      <c r="O14" s="24">
        <f>-(D14+F14+H14+L14+J14)/6+(D14+F14+H14+L14+J14)/5</f>
        <v>113.23333333333335</v>
      </c>
      <c r="P14" s="30" t="s">
        <v>88</v>
      </c>
      <c r="Q14" s="35">
        <f t="shared" si="0"/>
        <v>792633.33333333349</v>
      </c>
    </row>
    <row r="15" spans="2:21" ht="28.75" customHeight="1" x14ac:dyDescent="0.35">
      <c r="B15" s="24">
        <v>11</v>
      </c>
      <c r="C15" s="27" t="s">
        <v>15</v>
      </c>
      <c r="D15" s="27">
        <v>100</v>
      </c>
      <c r="E15" s="28">
        <v>3</v>
      </c>
      <c r="F15" s="24">
        <v>267</v>
      </c>
      <c r="G15" s="28">
        <v>3</v>
      </c>
      <c r="H15" s="24">
        <v>15</v>
      </c>
      <c r="I15" s="28">
        <v>5</v>
      </c>
      <c r="J15" s="24">
        <v>100</v>
      </c>
      <c r="K15" s="28">
        <v>5</v>
      </c>
      <c r="L15" s="24">
        <v>326</v>
      </c>
      <c r="M15" s="28">
        <v>3</v>
      </c>
      <c r="N15" s="24" t="s">
        <v>85</v>
      </c>
      <c r="O15" s="29">
        <f>(D15+F15+H15+J15)/5</f>
        <v>96.4</v>
      </c>
      <c r="P15" s="32" t="s">
        <v>90</v>
      </c>
      <c r="Q15" s="35">
        <f t="shared" si="0"/>
        <v>674800</v>
      </c>
    </row>
    <row r="16" spans="2:21" ht="28.75" customHeight="1" x14ac:dyDescent="0.35">
      <c r="B16" s="24">
        <v>12</v>
      </c>
      <c r="C16" s="27" t="s">
        <v>78</v>
      </c>
      <c r="D16" s="27">
        <v>10</v>
      </c>
      <c r="E16" s="28">
        <v>2</v>
      </c>
      <c r="F16" s="24"/>
      <c r="G16" s="28"/>
      <c r="H16" s="24">
        <v>2</v>
      </c>
      <c r="I16" s="28">
        <v>2</v>
      </c>
      <c r="J16" s="24">
        <v>4</v>
      </c>
      <c r="K16" s="28">
        <v>2</v>
      </c>
      <c r="L16" s="24">
        <v>7</v>
      </c>
      <c r="M16" s="28">
        <v>2</v>
      </c>
      <c r="N16" s="24" t="s">
        <v>86</v>
      </c>
      <c r="O16" s="24"/>
      <c r="P16" s="1"/>
      <c r="Q16" s="35">
        <f t="shared" si="0"/>
        <v>0</v>
      </c>
    </row>
    <row r="17" spans="2:17" ht="30" customHeight="1" x14ac:dyDescent="0.35">
      <c r="B17" s="24">
        <v>13</v>
      </c>
      <c r="C17" s="27" t="s">
        <v>31</v>
      </c>
      <c r="D17" s="27">
        <v>1</v>
      </c>
      <c r="E17" s="28" t="s">
        <v>79</v>
      </c>
      <c r="F17" s="24">
        <v>15</v>
      </c>
      <c r="G17" s="28" t="s">
        <v>80</v>
      </c>
      <c r="H17" s="24">
        <v>2</v>
      </c>
      <c r="I17" s="28" t="s">
        <v>79</v>
      </c>
      <c r="J17" s="24">
        <v>5</v>
      </c>
      <c r="K17" s="28" t="s">
        <v>81</v>
      </c>
      <c r="L17" s="24">
        <v>3</v>
      </c>
      <c r="M17" s="28" t="s">
        <v>80</v>
      </c>
      <c r="N17" s="24" t="s">
        <v>86</v>
      </c>
      <c r="O17" s="24"/>
      <c r="P17" s="1"/>
      <c r="Q17" s="35">
        <f t="shared" si="0"/>
        <v>0</v>
      </c>
    </row>
    <row r="18" spans="2:17" ht="43.5" x14ac:dyDescent="0.35">
      <c r="B18" s="24">
        <v>14</v>
      </c>
      <c r="C18" s="27" t="s">
        <v>36</v>
      </c>
      <c r="D18" s="27"/>
      <c r="E18" s="28"/>
      <c r="F18" s="24">
        <v>250</v>
      </c>
      <c r="G18" s="28">
        <v>5</v>
      </c>
      <c r="H18" s="24">
        <v>2</v>
      </c>
      <c r="I18" s="28">
        <v>5</v>
      </c>
      <c r="J18" s="24"/>
      <c r="K18" s="28"/>
      <c r="L18" s="24"/>
      <c r="M18" s="28"/>
      <c r="N18" s="24" t="s">
        <v>86</v>
      </c>
      <c r="O18" s="24"/>
      <c r="P18" s="1"/>
      <c r="Q18" s="35">
        <f t="shared" si="0"/>
        <v>0</v>
      </c>
    </row>
    <row r="19" spans="2:17" x14ac:dyDescent="0.35">
      <c r="N19" s="26"/>
    </row>
  </sheetData>
  <autoFilter ref="B4:U18" xr:uid="{765161B7-2330-4D20-B1AC-2D9BF7924E10}"/>
  <mergeCells count="5">
    <mergeCell ref="D3:E3"/>
    <mergeCell ref="F3:G3"/>
    <mergeCell ref="H3:I3"/>
    <mergeCell ref="J3:K3"/>
    <mergeCell ref="L3:M3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1"/>
  <sheetViews>
    <sheetView zoomScale="42" zoomScaleNormal="100" workbookViewId="0">
      <pane xSplit="3" ySplit="7" topLeftCell="D8" activePane="bottomRight" state="frozen"/>
      <selection pane="topRight" activeCell="D1" sqref="D1"/>
      <selection pane="bottomLeft" activeCell="A7" sqref="A7"/>
      <selection pane="bottomRight" activeCell="D4" sqref="D4:R4"/>
    </sheetView>
  </sheetViews>
  <sheetFormatPr defaultRowHeight="14.5" x14ac:dyDescent="0.35"/>
  <cols>
    <col min="3" max="3" width="51.54296875" customWidth="1"/>
    <col min="4" max="4" width="14" customWidth="1"/>
    <col min="5" max="5" width="9.453125" customWidth="1"/>
    <col min="6" max="6" width="23.36328125" customWidth="1"/>
    <col min="7" max="7" width="18.90625" customWidth="1"/>
    <col min="8" max="8" width="11" customWidth="1"/>
    <col min="9" max="9" width="20.08984375" customWidth="1"/>
    <col min="10" max="10" width="16.08984375" customWidth="1"/>
    <col min="11" max="11" width="16.6328125" customWidth="1"/>
    <col min="12" max="12" width="21" customWidth="1"/>
    <col min="13" max="13" width="15.6328125" customWidth="1"/>
    <col min="14" max="14" width="23.90625" customWidth="1"/>
    <col min="15" max="16" width="20" customWidth="1"/>
    <col min="17" max="17" width="11.6328125" customWidth="1"/>
    <col min="18" max="18" width="21.08984375" customWidth="1"/>
  </cols>
  <sheetData>
    <row r="1" spans="2:18" ht="15.5" x14ac:dyDescent="0.35">
      <c r="R1" s="14" t="s">
        <v>60</v>
      </c>
    </row>
    <row r="2" spans="2:18" x14ac:dyDescent="0.35">
      <c r="B2" s="2" t="s">
        <v>1</v>
      </c>
      <c r="C2" s="1" t="s">
        <v>2</v>
      </c>
    </row>
    <row r="4" spans="2:18" ht="20.25" customHeight="1" x14ac:dyDescent="0.35">
      <c r="B4" s="39" t="s">
        <v>0</v>
      </c>
      <c r="C4" s="39" t="s">
        <v>57</v>
      </c>
      <c r="D4" s="39" t="s">
        <v>3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2:18" ht="25.5" customHeight="1" x14ac:dyDescent="0.35">
      <c r="B5" s="39"/>
      <c r="C5" s="39"/>
      <c r="D5" s="39" t="s">
        <v>35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2:18" ht="26.25" customHeight="1" x14ac:dyDescent="0.35">
      <c r="B6" s="39"/>
      <c r="C6" s="39"/>
      <c r="D6" s="39" t="s">
        <v>63</v>
      </c>
      <c r="E6" s="39"/>
      <c r="F6" s="39"/>
      <c r="G6" s="39" t="s">
        <v>64</v>
      </c>
      <c r="H6" s="39"/>
      <c r="I6" s="39"/>
      <c r="J6" s="39" t="s">
        <v>65</v>
      </c>
      <c r="K6" s="39"/>
      <c r="L6" s="39"/>
      <c r="M6" s="39" t="s">
        <v>66</v>
      </c>
      <c r="N6" s="39"/>
      <c r="O6" s="39"/>
      <c r="P6" s="39" t="s">
        <v>67</v>
      </c>
      <c r="Q6" s="39"/>
      <c r="R6" s="39"/>
    </row>
    <row r="7" spans="2:18" ht="31" x14ac:dyDescent="0.35">
      <c r="B7" s="39"/>
      <c r="C7" s="39"/>
      <c r="D7" s="15" t="s">
        <v>17</v>
      </c>
      <c r="E7" s="15" t="s">
        <v>61</v>
      </c>
      <c r="F7" s="15" t="s">
        <v>34</v>
      </c>
      <c r="G7" s="15" t="s">
        <v>17</v>
      </c>
      <c r="H7" s="15" t="s">
        <v>61</v>
      </c>
      <c r="I7" s="15" t="s">
        <v>34</v>
      </c>
      <c r="J7" s="15" t="s">
        <v>17</v>
      </c>
      <c r="K7" s="15" t="s">
        <v>61</v>
      </c>
      <c r="L7" s="15" t="s">
        <v>34</v>
      </c>
      <c r="M7" s="15" t="s">
        <v>17</v>
      </c>
      <c r="N7" s="15" t="s">
        <v>61</v>
      </c>
      <c r="O7" s="15" t="s">
        <v>34</v>
      </c>
      <c r="P7" s="15" t="s">
        <v>17</v>
      </c>
      <c r="Q7" s="15" t="s">
        <v>61</v>
      </c>
      <c r="R7" s="12" t="s">
        <v>34</v>
      </c>
    </row>
    <row r="8" spans="2:18" ht="31" x14ac:dyDescent="0.35">
      <c r="B8" s="4">
        <v>1</v>
      </c>
      <c r="C8" s="9" t="s">
        <v>4</v>
      </c>
      <c r="D8" s="11" t="s">
        <v>25</v>
      </c>
      <c r="E8" s="11">
        <v>100</v>
      </c>
      <c r="F8" s="11" t="s">
        <v>5</v>
      </c>
      <c r="G8" s="11" t="s">
        <v>25</v>
      </c>
      <c r="H8" s="18">
        <v>150</v>
      </c>
      <c r="I8" s="11" t="s">
        <v>5</v>
      </c>
      <c r="J8" s="11" t="s">
        <v>41</v>
      </c>
      <c r="K8" s="11">
        <v>13</v>
      </c>
      <c r="L8" s="16" t="s">
        <v>42</v>
      </c>
      <c r="M8" s="11" t="s">
        <v>25</v>
      </c>
      <c r="N8" s="11">
        <v>29</v>
      </c>
      <c r="O8" s="11" t="s">
        <v>5</v>
      </c>
      <c r="P8" s="11" t="s">
        <v>25</v>
      </c>
      <c r="Q8" s="16">
        <v>167</v>
      </c>
      <c r="R8" s="11" t="s">
        <v>5</v>
      </c>
    </row>
    <row r="9" spans="2:18" ht="31" x14ac:dyDescent="0.35">
      <c r="B9" s="4">
        <v>2</v>
      </c>
      <c r="C9" s="9" t="s">
        <v>6</v>
      </c>
      <c r="D9" s="11" t="s">
        <v>26</v>
      </c>
      <c r="E9" s="11">
        <v>75</v>
      </c>
      <c r="F9" s="11" t="s">
        <v>7</v>
      </c>
      <c r="G9" s="11" t="s">
        <v>26</v>
      </c>
      <c r="H9" s="18">
        <v>60</v>
      </c>
      <c r="I9" s="11" t="s">
        <v>7</v>
      </c>
      <c r="J9" s="52" t="s">
        <v>29</v>
      </c>
      <c r="K9" s="53"/>
      <c r="L9" s="54"/>
      <c r="M9" s="11" t="s">
        <v>26</v>
      </c>
      <c r="N9" s="11">
        <v>19</v>
      </c>
      <c r="O9" s="11" t="s">
        <v>7</v>
      </c>
      <c r="P9" s="11" t="s">
        <v>26</v>
      </c>
      <c r="Q9" s="11">
        <v>67</v>
      </c>
      <c r="R9" s="11" t="s">
        <v>7</v>
      </c>
    </row>
    <row r="10" spans="2:18" ht="20.149999999999999" customHeight="1" x14ac:dyDescent="0.35">
      <c r="B10" s="4">
        <v>3</v>
      </c>
      <c r="C10" s="9" t="s">
        <v>8</v>
      </c>
      <c r="D10" s="11" t="s">
        <v>27</v>
      </c>
      <c r="E10" s="11">
        <v>40</v>
      </c>
      <c r="F10" s="11" t="s">
        <v>9</v>
      </c>
      <c r="G10" s="11" t="s">
        <v>27</v>
      </c>
      <c r="H10" s="18">
        <v>20</v>
      </c>
      <c r="I10" s="11" t="s">
        <v>9</v>
      </c>
      <c r="J10" s="11" t="s">
        <v>27</v>
      </c>
      <c r="K10" s="17">
        <v>3</v>
      </c>
      <c r="L10" s="11" t="s">
        <v>40</v>
      </c>
      <c r="M10" s="11" t="s">
        <v>27</v>
      </c>
      <c r="N10" s="11" t="s">
        <v>44</v>
      </c>
      <c r="O10" s="17" t="s">
        <v>45</v>
      </c>
      <c r="P10" s="11" t="s">
        <v>27</v>
      </c>
      <c r="Q10" s="11">
        <v>60</v>
      </c>
      <c r="R10" s="11" t="s">
        <v>9</v>
      </c>
    </row>
    <row r="11" spans="2:18" ht="20.149999999999999" customHeight="1" x14ac:dyDescent="0.35">
      <c r="B11" s="57">
        <v>4</v>
      </c>
      <c r="C11" s="45" t="s">
        <v>16</v>
      </c>
      <c r="D11" s="11" t="s">
        <v>18</v>
      </c>
      <c r="E11" s="11">
        <v>90</v>
      </c>
      <c r="F11" s="45" t="s">
        <v>10</v>
      </c>
      <c r="G11" s="11" t="s">
        <v>18</v>
      </c>
      <c r="H11" s="18">
        <f>300+200+6+3+13+2+3+5+3+5+3+7+3+5+3+2+5+5+27+2</f>
        <v>602</v>
      </c>
      <c r="I11" s="45" t="s">
        <v>59</v>
      </c>
      <c r="J11" s="11" t="s">
        <v>18</v>
      </c>
      <c r="K11" s="11">
        <v>26</v>
      </c>
      <c r="L11" s="49" t="s">
        <v>10</v>
      </c>
      <c r="M11" s="11" t="s">
        <v>18</v>
      </c>
      <c r="N11" s="11" t="s">
        <v>46</v>
      </c>
      <c r="O11" s="45" t="s">
        <v>47</v>
      </c>
      <c r="P11" s="11" t="s">
        <v>18</v>
      </c>
      <c r="Q11" s="49">
        <v>384</v>
      </c>
      <c r="R11" s="40" t="s">
        <v>10</v>
      </c>
    </row>
    <row r="12" spans="2:18" ht="20.149999999999999" customHeight="1" x14ac:dyDescent="0.35">
      <c r="B12" s="58"/>
      <c r="C12" s="46"/>
      <c r="D12" s="11" t="s">
        <v>62</v>
      </c>
      <c r="E12" s="11" t="s">
        <v>29</v>
      </c>
      <c r="F12" s="46"/>
      <c r="G12" s="19" t="s">
        <v>62</v>
      </c>
      <c r="H12" s="20">
        <v>308</v>
      </c>
      <c r="I12" s="46"/>
      <c r="J12" s="19" t="s">
        <v>62</v>
      </c>
      <c r="K12" s="11" t="s">
        <v>29</v>
      </c>
      <c r="L12" s="50"/>
      <c r="M12" s="19" t="s">
        <v>62</v>
      </c>
      <c r="N12" s="11" t="s">
        <v>29</v>
      </c>
      <c r="O12" s="46"/>
      <c r="P12" s="19" t="s">
        <v>62</v>
      </c>
      <c r="Q12" s="50"/>
      <c r="R12" s="41"/>
    </row>
    <row r="13" spans="2:18" ht="20.149999999999999" customHeight="1" x14ac:dyDescent="0.35">
      <c r="B13" s="58"/>
      <c r="C13" s="46"/>
      <c r="D13" s="11" t="s">
        <v>19</v>
      </c>
      <c r="E13" s="11">
        <v>35</v>
      </c>
      <c r="F13" s="46"/>
      <c r="G13" s="11" t="s">
        <v>19</v>
      </c>
      <c r="H13" s="18">
        <v>100</v>
      </c>
      <c r="I13" s="46"/>
      <c r="J13" s="11" t="s">
        <v>19</v>
      </c>
      <c r="K13" s="11">
        <v>10</v>
      </c>
      <c r="L13" s="50"/>
      <c r="M13" s="11" t="s">
        <v>19</v>
      </c>
      <c r="N13" s="11" t="s">
        <v>29</v>
      </c>
      <c r="O13" s="46"/>
      <c r="P13" s="11" t="s">
        <v>19</v>
      </c>
      <c r="Q13" s="50" t="s">
        <v>29</v>
      </c>
      <c r="R13" s="41"/>
    </row>
    <row r="14" spans="2:18" ht="20.149999999999999" customHeight="1" x14ac:dyDescent="0.35">
      <c r="B14" s="56"/>
      <c r="C14" s="47"/>
      <c r="D14" s="11" t="s">
        <v>20</v>
      </c>
      <c r="E14" s="11">
        <v>8</v>
      </c>
      <c r="F14" s="47"/>
      <c r="G14" s="11" t="s">
        <v>20</v>
      </c>
      <c r="H14" s="18">
        <v>10</v>
      </c>
      <c r="I14" s="47"/>
      <c r="J14" s="11" t="s">
        <v>20</v>
      </c>
      <c r="K14" s="11" t="s">
        <v>29</v>
      </c>
      <c r="L14" s="51"/>
      <c r="M14" s="11" t="s">
        <v>20</v>
      </c>
      <c r="N14" s="11" t="s">
        <v>48</v>
      </c>
      <c r="O14" s="47"/>
      <c r="P14" s="11" t="s">
        <v>20</v>
      </c>
      <c r="Q14" s="51" t="s">
        <v>29</v>
      </c>
      <c r="R14" s="42"/>
    </row>
    <row r="15" spans="2:18" ht="31" x14ac:dyDescent="0.35">
      <c r="B15" s="4">
        <v>5</v>
      </c>
      <c r="C15" s="3" t="s">
        <v>21</v>
      </c>
      <c r="D15" s="11" t="s">
        <v>18</v>
      </c>
      <c r="E15" s="11">
        <v>60</v>
      </c>
      <c r="F15" s="11" t="s">
        <v>12</v>
      </c>
      <c r="G15" s="17" t="s">
        <v>18</v>
      </c>
      <c r="H15" s="21">
        <f>144+2+2+4+3+3+3+3+2+3+3</f>
        <v>172</v>
      </c>
      <c r="I15" s="17" t="s">
        <v>12</v>
      </c>
      <c r="J15" s="11" t="s">
        <v>18</v>
      </c>
      <c r="K15" s="11">
        <v>14</v>
      </c>
      <c r="L15" s="17" t="s">
        <v>12</v>
      </c>
      <c r="M15" s="11" t="s">
        <v>18</v>
      </c>
      <c r="N15" s="11" t="s">
        <v>49</v>
      </c>
      <c r="O15" s="11" t="s">
        <v>47</v>
      </c>
      <c r="P15" s="11" t="s">
        <v>18</v>
      </c>
      <c r="Q15" s="17">
        <f>1002-384</f>
        <v>618</v>
      </c>
      <c r="R15" s="11" t="s">
        <v>12</v>
      </c>
    </row>
    <row r="16" spans="2:18" ht="20.149999999999999" customHeight="1" x14ac:dyDescent="0.35">
      <c r="B16" s="57">
        <v>6</v>
      </c>
      <c r="C16" s="45" t="s">
        <v>11</v>
      </c>
      <c r="D16" s="11" t="s">
        <v>23</v>
      </c>
      <c r="E16" s="11">
        <v>100</v>
      </c>
      <c r="F16" s="43" t="s">
        <v>12</v>
      </c>
      <c r="G16" s="11" t="s">
        <v>23</v>
      </c>
      <c r="H16" s="18">
        <v>875</v>
      </c>
      <c r="I16" s="43" t="s">
        <v>12</v>
      </c>
      <c r="J16" s="11" t="s">
        <v>23</v>
      </c>
      <c r="K16" s="11">
        <v>25</v>
      </c>
      <c r="L16" s="17" t="s">
        <v>12</v>
      </c>
      <c r="M16" s="43" t="s">
        <v>23</v>
      </c>
      <c r="N16" s="11" t="s">
        <v>50</v>
      </c>
      <c r="O16" s="43" t="s">
        <v>12</v>
      </c>
      <c r="P16" s="43" t="s">
        <v>23</v>
      </c>
      <c r="Q16" s="17">
        <v>224</v>
      </c>
      <c r="R16" s="43" t="s">
        <v>12</v>
      </c>
    </row>
    <row r="17" spans="2:18" ht="20.149999999999999" customHeight="1" x14ac:dyDescent="0.35">
      <c r="B17" s="58"/>
      <c r="C17" s="46"/>
      <c r="D17" s="11" t="s">
        <v>22</v>
      </c>
      <c r="E17" s="11">
        <v>100</v>
      </c>
      <c r="F17" s="44"/>
      <c r="G17" s="11" t="s">
        <v>22</v>
      </c>
      <c r="H17" s="18">
        <v>833</v>
      </c>
      <c r="I17" s="44"/>
      <c r="J17" s="11" t="s">
        <v>22</v>
      </c>
      <c r="K17" s="11">
        <v>30</v>
      </c>
      <c r="L17" s="17" t="s">
        <v>29</v>
      </c>
      <c r="M17" s="44" t="s">
        <v>22</v>
      </c>
      <c r="N17" s="11" t="s">
        <v>51</v>
      </c>
      <c r="O17" s="48"/>
      <c r="P17" s="44" t="s">
        <v>22</v>
      </c>
      <c r="Q17" s="17">
        <v>234</v>
      </c>
      <c r="R17" s="44"/>
    </row>
    <row r="18" spans="2:18" ht="20.149999999999999" customHeight="1" x14ac:dyDescent="0.35">
      <c r="B18" s="57">
        <v>7</v>
      </c>
      <c r="C18" s="45" t="s">
        <v>13</v>
      </c>
      <c r="D18" s="11" t="s">
        <v>23</v>
      </c>
      <c r="E18" s="11">
        <v>100</v>
      </c>
      <c r="F18" s="45" t="s">
        <v>12</v>
      </c>
      <c r="G18" s="11" t="s">
        <v>23</v>
      </c>
      <c r="H18" s="18">
        <v>875</v>
      </c>
      <c r="I18" s="43" t="s">
        <v>12</v>
      </c>
      <c r="J18" s="11" t="s">
        <v>23</v>
      </c>
      <c r="K18" s="11">
        <v>25</v>
      </c>
      <c r="L18" s="49" t="s">
        <v>12</v>
      </c>
      <c r="M18" s="43" t="s">
        <v>23</v>
      </c>
      <c r="N18" s="11" t="s">
        <v>52</v>
      </c>
      <c r="O18" s="43" t="s">
        <v>12</v>
      </c>
      <c r="P18" s="43" t="s">
        <v>23</v>
      </c>
      <c r="Q18" s="49">
        <f>819-224</f>
        <v>595</v>
      </c>
      <c r="R18" s="43" t="s">
        <v>12</v>
      </c>
    </row>
    <row r="19" spans="2:18" ht="20.149999999999999" customHeight="1" x14ac:dyDescent="0.35">
      <c r="B19" s="58"/>
      <c r="C19" s="46"/>
      <c r="D19" s="11" t="s">
        <v>22</v>
      </c>
      <c r="E19" s="11">
        <v>100</v>
      </c>
      <c r="F19" s="46"/>
      <c r="G19" s="11" t="s">
        <v>22</v>
      </c>
      <c r="H19" s="18">
        <v>833</v>
      </c>
      <c r="I19" s="44"/>
      <c r="J19" s="11" t="s">
        <v>22</v>
      </c>
      <c r="K19" s="11">
        <v>30</v>
      </c>
      <c r="L19" s="50"/>
      <c r="M19" s="44" t="s">
        <v>22</v>
      </c>
      <c r="N19" s="11" t="s">
        <v>53</v>
      </c>
      <c r="O19" s="44"/>
      <c r="P19" s="44" t="s">
        <v>22</v>
      </c>
      <c r="Q19" s="50">
        <f>817-234</f>
        <v>583</v>
      </c>
      <c r="R19" s="44"/>
    </row>
    <row r="20" spans="2:18" ht="20.149999999999999" customHeight="1" x14ac:dyDescent="0.35">
      <c r="B20" s="56"/>
      <c r="C20" s="47"/>
      <c r="D20" s="11" t="s">
        <v>24</v>
      </c>
      <c r="E20" s="11">
        <v>25</v>
      </c>
      <c r="F20" s="47"/>
      <c r="G20" s="11" t="s">
        <v>24</v>
      </c>
      <c r="H20" s="18">
        <f>95+2+1+2+2+2+2+2+1+1+2+12</f>
        <v>124</v>
      </c>
      <c r="I20" s="48"/>
      <c r="J20" s="11" t="s">
        <v>24</v>
      </c>
      <c r="K20" s="11">
        <v>15</v>
      </c>
      <c r="L20" s="51"/>
      <c r="M20" s="48" t="s">
        <v>24</v>
      </c>
      <c r="N20" s="11" t="s">
        <v>54</v>
      </c>
      <c r="O20" s="48"/>
      <c r="P20" s="48" t="s">
        <v>24</v>
      </c>
      <c r="Q20" s="51" t="s">
        <v>29</v>
      </c>
      <c r="R20" s="48"/>
    </row>
    <row r="21" spans="2:18" ht="31" x14ac:dyDescent="0.35">
      <c r="B21" s="4">
        <v>8</v>
      </c>
      <c r="C21" s="13" t="s">
        <v>15</v>
      </c>
      <c r="D21" s="17" t="s">
        <v>24</v>
      </c>
      <c r="E21" s="17">
        <v>100</v>
      </c>
      <c r="F21" s="17" t="s">
        <v>14</v>
      </c>
      <c r="G21" s="11" t="s">
        <v>24</v>
      </c>
      <c r="H21" s="18">
        <f>205+57+5</f>
        <v>267</v>
      </c>
      <c r="I21" s="11" t="s">
        <v>14</v>
      </c>
      <c r="J21" s="17" t="s">
        <v>24</v>
      </c>
      <c r="K21" s="17">
        <v>15</v>
      </c>
      <c r="L21" s="17" t="s">
        <v>12</v>
      </c>
      <c r="M21" s="17" t="s">
        <v>24</v>
      </c>
      <c r="N21" s="17">
        <v>100</v>
      </c>
      <c r="O21" s="17" t="s">
        <v>12</v>
      </c>
      <c r="P21" s="17" t="s">
        <v>24</v>
      </c>
      <c r="Q21" s="17">
        <v>326</v>
      </c>
      <c r="R21" s="17" t="s">
        <v>14</v>
      </c>
    </row>
    <row r="22" spans="2:18" ht="31" x14ac:dyDescent="0.35">
      <c r="B22" s="4">
        <v>9</v>
      </c>
      <c r="C22" s="9" t="s">
        <v>28</v>
      </c>
      <c r="D22" s="11" t="s">
        <v>29</v>
      </c>
      <c r="E22" s="11">
        <v>10</v>
      </c>
      <c r="F22" s="11" t="s">
        <v>30</v>
      </c>
      <c r="G22" s="11" t="s">
        <v>29</v>
      </c>
      <c r="H22" s="11" t="s">
        <v>29</v>
      </c>
      <c r="I22" s="11" t="s">
        <v>29</v>
      </c>
      <c r="J22" s="11" t="s">
        <v>29</v>
      </c>
      <c r="K22" s="17">
        <v>2</v>
      </c>
      <c r="L22" s="17" t="s">
        <v>30</v>
      </c>
      <c r="M22" s="11" t="s">
        <v>29</v>
      </c>
      <c r="N22" s="11">
        <v>4</v>
      </c>
      <c r="O22" s="17" t="s">
        <v>30</v>
      </c>
      <c r="P22" s="11" t="s">
        <v>29</v>
      </c>
      <c r="Q22" s="17">
        <v>7</v>
      </c>
      <c r="R22" s="11" t="s">
        <v>30</v>
      </c>
    </row>
    <row r="23" spans="2:18" ht="31" x14ac:dyDescent="0.35">
      <c r="B23" s="4">
        <v>10</v>
      </c>
      <c r="C23" s="9" t="s">
        <v>31</v>
      </c>
      <c r="D23" s="11" t="s">
        <v>32</v>
      </c>
      <c r="E23" s="11">
        <v>1</v>
      </c>
      <c r="F23" s="11" t="s">
        <v>33</v>
      </c>
      <c r="G23" s="11" t="s">
        <v>32</v>
      </c>
      <c r="H23" s="11">
        <v>15</v>
      </c>
      <c r="I23" s="11" t="s">
        <v>56</v>
      </c>
      <c r="J23" s="11" t="s">
        <v>32</v>
      </c>
      <c r="K23" s="17">
        <v>2</v>
      </c>
      <c r="L23" s="17" t="s">
        <v>43</v>
      </c>
      <c r="M23" s="11" t="s">
        <v>32</v>
      </c>
      <c r="N23" s="11">
        <v>5</v>
      </c>
      <c r="O23" s="17" t="s">
        <v>55</v>
      </c>
      <c r="P23" s="11" t="s">
        <v>32</v>
      </c>
      <c r="Q23" s="17">
        <v>3</v>
      </c>
      <c r="R23" s="11" t="s">
        <v>56</v>
      </c>
    </row>
    <row r="24" spans="2:18" ht="46.5" x14ac:dyDescent="0.35">
      <c r="B24" s="4">
        <v>11</v>
      </c>
      <c r="C24" s="10" t="s">
        <v>36</v>
      </c>
      <c r="D24" s="11" t="s">
        <v>29</v>
      </c>
      <c r="E24" s="11" t="s">
        <v>29</v>
      </c>
      <c r="F24" s="11" t="s">
        <v>29</v>
      </c>
      <c r="G24" s="11" t="s">
        <v>58</v>
      </c>
      <c r="H24" s="22">
        <v>250</v>
      </c>
      <c r="I24" s="11" t="s">
        <v>12</v>
      </c>
      <c r="J24" s="11" t="s">
        <v>38</v>
      </c>
      <c r="K24" s="23">
        <v>2</v>
      </c>
      <c r="L24" s="59" t="s">
        <v>12</v>
      </c>
      <c r="M24" s="11" t="s">
        <v>29</v>
      </c>
      <c r="N24" s="11" t="s">
        <v>29</v>
      </c>
      <c r="O24" s="23" t="s">
        <v>29</v>
      </c>
      <c r="P24" s="11" t="s">
        <v>29</v>
      </c>
      <c r="Q24" s="55" t="s">
        <v>29</v>
      </c>
      <c r="R24" s="11" t="s">
        <v>29</v>
      </c>
    </row>
    <row r="25" spans="2:18" ht="46.5" x14ac:dyDescent="0.35">
      <c r="B25" s="4">
        <v>12</v>
      </c>
      <c r="C25" s="11" t="s">
        <v>37</v>
      </c>
      <c r="D25" s="11" t="s">
        <v>29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29</v>
      </c>
      <c r="J25" s="11" t="s">
        <v>39</v>
      </c>
      <c r="K25" s="23">
        <v>2</v>
      </c>
      <c r="L25" s="48"/>
      <c r="M25" s="11" t="s">
        <v>29</v>
      </c>
      <c r="N25" s="16" t="s">
        <v>29</v>
      </c>
      <c r="O25" s="23" t="s">
        <v>29</v>
      </c>
      <c r="P25" s="11" t="s">
        <v>29</v>
      </c>
      <c r="Q25" s="56" t="s">
        <v>29</v>
      </c>
      <c r="R25" s="11" t="s">
        <v>29</v>
      </c>
    </row>
    <row r="26" spans="2:18" x14ac:dyDescent="0.35">
      <c r="F26" s="5"/>
      <c r="G26" s="5"/>
      <c r="H26" s="5"/>
      <c r="I26" s="5"/>
      <c r="J26" s="6"/>
      <c r="K26" s="6"/>
    </row>
    <row r="27" spans="2:18" x14ac:dyDescent="0.35">
      <c r="F27" s="5"/>
      <c r="G27" s="5"/>
      <c r="H27" s="5"/>
      <c r="I27" s="5"/>
      <c r="J27" s="6"/>
      <c r="K27" s="6"/>
    </row>
    <row r="28" spans="2:18" x14ac:dyDescent="0.35">
      <c r="F28" s="5"/>
      <c r="G28" s="5"/>
      <c r="H28" s="5"/>
      <c r="I28" s="5"/>
      <c r="J28" s="6"/>
      <c r="K28" s="6"/>
    </row>
    <row r="29" spans="2:18" x14ac:dyDescent="0.35">
      <c r="F29" s="7"/>
      <c r="G29" s="7"/>
      <c r="H29" s="7"/>
      <c r="I29" s="7"/>
      <c r="J29" s="6"/>
      <c r="K29" s="6"/>
    </row>
    <row r="30" spans="2:18" x14ac:dyDescent="0.35">
      <c r="F30" s="8"/>
      <c r="G30" s="8"/>
      <c r="H30" s="8"/>
      <c r="I30" s="8"/>
      <c r="J30" s="6"/>
      <c r="K30" s="6"/>
    </row>
    <row r="31" spans="2:18" x14ac:dyDescent="0.35">
      <c r="F31" s="8"/>
      <c r="G31" s="8"/>
      <c r="H31" s="8"/>
      <c r="I31" s="8"/>
      <c r="J31" s="6"/>
      <c r="K31" s="5"/>
    </row>
  </sheetData>
  <mergeCells count="38">
    <mergeCell ref="P16:P17"/>
    <mergeCell ref="P18:P20"/>
    <mergeCell ref="P6:R6"/>
    <mergeCell ref="I11:I14"/>
    <mergeCell ref="I16:I17"/>
    <mergeCell ref="I18:I20"/>
    <mergeCell ref="Q24:Q25"/>
    <mergeCell ref="J6:L6"/>
    <mergeCell ref="B4:B7"/>
    <mergeCell ref="C4:C7"/>
    <mergeCell ref="B11:B14"/>
    <mergeCell ref="C11:C14"/>
    <mergeCell ref="F11:F14"/>
    <mergeCell ref="D6:F6"/>
    <mergeCell ref="L11:L14"/>
    <mergeCell ref="L18:L20"/>
    <mergeCell ref="F18:F20"/>
    <mergeCell ref="L24:L25"/>
    <mergeCell ref="B16:B17"/>
    <mergeCell ref="C16:C17"/>
    <mergeCell ref="F16:F17"/>
    <mergeCell ref="B18:B20"/>
    <mergeCell ref="D4:R4"/>
    <mergeCell ref="D5:R5"/>
    <mergeCell ref="R11:R14"/>
    <mergeCell ref="R16:R17"/>
    <mergeCell ref="C18:C20"/>
    <mergeCell ref="R18:R20"/>
    <mergeCell ref="M6:O6"/>
    <mergeCell ref="Q11:Q14"/>
    <mergeCell ref="M16:M17"/>
    <mergeCell ref="M18:M20"/>
    <mergeCell ref="Q18:Q20"/>
    <mergeCell ref="J9:L9"/>
    <mergeCell ref="O18:O20"/>
    <mergeCell ref="O16:O17"/>
    <mergeCell ref="G6:I6"/>
    <mergeCell ref="O11:O14"/>
  </mergeCells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0AE5B3484145A0ADD337FCF67C86" ma:contentTypeVersion="14" ma:contentTypeDescription="Create a new document." ma:contentTypeScope="" ma:versionID="3f54e3c9659246bbb0a66a1504537d8c">
  <xsd:schema xmlns:xsd="http://www.w3.org/2001/XMLSchema" xmlns:xs="http://www.w3.org/2001/XMLSchema" xmlns:p="http://schemas.microsoft.com/office/2006/metadata/properties" xmlns:ns2="2af88fe9-d449-40b3-b4c5-a44d7dbe7b6b" xmlns:ns3="6a3b062f-7a46-4c98-aa55-aeccbac2e023" targetNamespace="http://schemas.microsoft.com/office/2006/metadata/properties" ma:root="true" ma:fieldsID="356a046ed05f321883a203cae71c09f6" ns2:_="" ns3:_="">
    <xsd:import namespace="2af88fe9-d449-40b3-b4c5-a44d7dbe7b6b"/>
    <xsd:import namespace="6a3b062f-7a46-4c98-aa55-aeccbac2e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88fe9-d449-40b3-b4c5-a44d7dbe7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b062f-7a46-4c98-aa55-aeccbac2e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d426e0d-4c6e-4934-8cd4-7e6b5def3ccf}" ma:internalName="TaxCatchAll" ma:showField="CatchAllData" ma:web="6a3b062f-7a46-4c98-aa55-aeccbac2e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587CD-24EF-486B-97BC-8961BA672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88fe9-d449-40b3-b4c5-a44d7dbe7b6b"/>
    <ds:schemaRef ds:uri="6a3b062f-7a46-4c98-aa55-aeccbac2e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D7F997-F8CE-47F6-9258-C8534E27FB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Filter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2026-01-23T09:48:54Z</dcterms:modified>
</cp:coreProperties>
</file>